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05" yWindow="-105" windowWidth="23250" windowHeight="12450"/>
  </bookViews>
  <sheets>
    <sheet name="3RD IS1" sheetId="4" r:id="rId1"/>
    <sheet name="3RD AD" sheetId="6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3" i="4"/>
  <c r="I62"/>
  <c r="I61"/>
  <c r="I60"/>
  <c r="I59"/>
  <c r="M59" s="1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M35" s="1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M15" s="1"/>
  <c r="I14"/>
  <c r="I13"/>
  <c r="I12"/>
  <c r="I11"/>
  <c r="I10"/>
  <c r="I9"/>
  <c r="I8"/>
  <c r="I7"/>
  <c r="I6"/>
  <c r="F63"/>
  <c r="F62"/>
  <c r="M62" s="1"/>
  <c r="F61"/>
  <c r="M61" s="1"/>
  <c r="F60"/>
  <c r="M60" s="1"/>
  <c r="F59"/>
  <c r="F58"/>
  <c r="F57"/>
  <c r="F56"/>
  <c r="M56" s="1"/>
  <c r="F55"/>
  <c r="M55" s="1"/>
  <c r="F54"/>
  <c r="M54" s="1"/>
  <c r="F53"/>
  <c r="M53" s="1"/>
  <c r="F52"/>
  <c r="M52" s="1"/>
  <c r="F51"/>
  <c r="M51" s="1"/>
  <c r="F50"/>
  <c r="M50" s="1"/>
  <c r="F49"/>
  <c r="M49" s="1"/>
  <c r="F48"/>
  <c r="M48" s="1"/>
  <c r="F47"/>
  <c r="M47" s="1"/>
  <c r="F46"/>
  <c r="M46" s="1"/>
  <c r="F45"/>
  <c r="F44"/>
  <c r="M44" s="1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M24" s="1"/>
  <c r="F23"/>
  <c r="F22"/>
  <c r="F21"/>
  <c r="F20"/>
  <c r="M20" s="1"/>
  <c r="F19"/>
  <c r="F18"/>
  <c r="M18" s="1"/>
  <c r="F17"/>
  <c r="M17" s="1"/>
  <c r="F16"/>
  <c r="M16" s="1"/>
  <c r="F15"/>
  <c r="F14"/>
  <c r="F13"/>
  <c r="F12"/>
  <c r="M12" s="1"/>
  <c r="F11"/>
  <c r="F10"/>
  <c r="M10" s="1"/>
  <c r="F9"/>
  <c r="M9" s="1"/>
  <c r="F8"/>
  <c r="M8" s="1"/>
  <c r="F7"/>
  <c r="F6"/>
  <c r="M6" s="1"/>
  <c r="M5" i="6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19"/>
  <c r="I18"/>
  <c r="I17"/>
  <c r="I16"/>
  <c r="I15"/>
  <c r="I14"/>
  <c r="I13"/>
  <c r="I12"/>
  <c r="I11"/>
  <c r="I10"/>
  <c r="I9"/>
  <c r="I8"/>
  <c r="I7"/>
  <c r="I6"/>
  <c r="I21"/>
  <c r="I20"/>
  <c r="F61"/>
  <c r="M61" s="1"/>
  <c r="F60"/>
  <c r="M60" s="1"/>
  <c r="F59"/>
  <c r="F58"/>
  <c r="F57"/>
  <c r="M57" s="1"/>
  <c r="F56"/>
  <c r="M56" s="1"/>
  <c r="F55"/>
  <c r="M55" s="1"/>
  <c r="F54"/>
  <c r="M54" s="1"/>
  <c r="F53"/>
  <c r="M53" s="1"/>
  <c r="F52"/>
  <c r="M52" s="1"/>
  <c r="F51"/>
  <c r="M51" s="1"/>
  <c r="F50"/>
  <c r="M50" s="1"/>
  <c r="F49"/>
  <c r="M49" s="1"/>
  <c r="F48"/>
  <c r="M48" s="1"/>
  <c r="F47"/>
  <c r="M47" s="1"/>
  <c r="F46"/>
  <c r="M46" s="1"/>
  <c r="F45"/>
  <c r="M45" s="1"/>
  <c r="F44"/>
  <c r="M44" s="1"/>
  <c r="F43"/>
  <c r="M43" s="1"/>
  <c r="F42"/>
  <c r="M42" s="1"/>
  <c r="F41"/>
  <c r="F40"/>
  <c r="M40" s="1"/>
  <c r="F39"/>
  <c r="M39" s="1"/>
  <c r="F38"/>
  <c r="M38" s="1"/>
  <c r="F37"/>
  <c r="M37" s="1"/>
  <c r="F36"/>
  <c r="M36" s="1"/>
  <c r="F35"/>
  <c r="M35" s="1"/>
  <c r="F34"/>
  <c r="M34" s="1"/>
  <c r="F33"/>
  <c r="M33" s="1"/>
  <c r="F32"/>
  <c r="M32" s="1"/>
  <c r="F31"/>
  <c r="M31" s="1"/>
  <c r="F30"/>
  <c r="M30" s="1"/>
  <c r="F29"/>
  <c r="M29" s="1"/>
  <c r="F28"/>
  <c r="M28" s="1"/>
  <c r="F27"/>
  <c r="M27" s="1"/>
  <c r="F26"/>
  <c r="M26" s="1"/>
  <c r="F25"/>
  <c r="M25" s="1"/>
  <c r="F24"/>
  <c r="M24" s="1"/>
  <c r="F23"/>
  <c r="F22"/>
  <c r="F21"/>
  <c r="M21" s="1"/>
  <c r="F20"/>
  <c r="M20" s="1"/>
  <c r="F19"/>
  <c r="M19" s="1"/>
  <c r="F18"/>
  <c r="M18" s="1"/>
  <c r="F17"/>
  <c r="F16"/>
  <c r="M16" s="1"/>
  <c r="F15"/>
  <c r="M15" s="1"/>
  <c r="F14"/>
  <c r="M14" s="1"/>
  <c r="F13"/>
  <c r="M13" s="1"/>
  <c r="F12"/>
  <c r="M12" s="1"/>
  <c r="F11"/>
  <c r="F8"/>
  <c r="F7"/>
  <c r="F6"/>
  <c r="M6" s="1"/>
  <c r="F10"/>
  <c r="F9"/>
  <c r="M31" i="4" l="1"/>
  <c r="M22" i="6"/>
  <c r="M40" i="4"/>
  <c r="M10" i="6"/>
  <c r="M11" i="4"/>
  <c r="M19"/>
  <c r="M23"/>
  <c r="M27"/>
  <c r="M43"/>
  <c r="M63"/>
  <c r="M13"/>
  <c r="M21"/>
  <c r="M29"/>
  <c r="M33"/>
  <c r="M37"/>
  <c r="M41"/>
  <c r="M57"/>
  <c r="M9" i="6"/>
  <c r="M23"/>
  <c r="M17"/>
  <c r="M11"/>
  <c r="M14" i="4"/>
  <c r="M22"/>
  <c r="M26"/>
  <c r="M30"/>
  <c r="M34"/>
  <c r="M38"/>
  <c r="M42"/>
  <c r="M58"/>
  <c r="M7"/>
  <c r="M7" i="6"/>
  <c r="M39" i="4"/>
  <c r="M32"/>
  <c r="M8" i="6"/>
  <c r="M59"/>
  <c r="M45" i="4"/>
  <c r="M36"/>
  <c r="M58" i="6"/>
  <c r="M25" i="4"/>
  <c r="M28"/>
</calcChain>
</file>

<file path=xl/sharedStrings.xml><?xml version="1.0" encoding="utf-8"?>
<sst xmlns="http://schemas.openxmlformats.org/spreadsheetml/2006/main" count="264" uniqueCount="241">
  <si>
    <t>EAST WEST INSTITUTE OF TECHNOLOGY</t>
  </si>
  <si>
    <t>DEPARTMENT OF INFORMATION SCIENCE &amp; ENGINEERING</t>
  </si>
  <si>
    <t>SL.NO</t>
  </si>
  <si>
    <t>USN</t>
  </si>
  <si>
    <t>NAMES</t>
  </si>
  <si>
    <t>3RD  IS1 STUDENTS LIST</t>
  </si>
  <si>
    <t>1EW24IS001</t>
  </si>
  <si>
    <t>ABHAY GURUPUTRAPPA GALAGALI</t>
  </si>
  <si>
    <t>1EW24IS002</t>
  </si>
  <si>
    <t>ABHISHEK</t>
  </si>
  <si>
    <t>1EW24IS003</t>
  </si>
  <si>
    <t>ABHISHEK H N</t>
  </si>
  <si>
    <t>1EW24IS004</t>
  </si>
  <si>
    <t>ACHUTHA KUMAR D M</t>
  </si>
  <si>
    <t>1EW24IS005</t>
  </si>
  <si>
    <t>ADITYA KHA</t>
  </si>
  <si>
    <t>1EW24IS006</t>
  </si>
  <si>
    <t>AMRUTHA K</t>
  </si>
  <si>
    <t>1EW24IS007</t>
  </si>
  <si>
    <t>ANITHA C</t>
  </si>
  <si>
    <t>1EW24IS008</t>
  </si>
  <si>
    <t xml:space="preserve">ANKUSH </t>
  </si>
  <si>
    <t>1EW24IS009</t>
  </si>
  <si>
    <t>BHARATH P D</t>
  </si>
  <si>
    <t>1EW24IS010</t>
  </si>
  <si>
    <t>BHARATH T S</t>
  </si>
  <si>
    <t>1EW24IS011</t>
  </si>
  <si>
    <t>BHOOMIKA B M</t>
  </si>
  <si>
    <t>1EW24IS012</t>
  </si>
  <si>
    <t>BHOOMIKA B V</t>
  </si>
  <si>
    <t>1EW24IS013</t>
  </si>
  <si>
    <t>BHOOMIKA S</t>
  </si>
  <si>
    <t>1EW24IS014</t>
  </si>
  <si>
    <t>BINDU K M</t>
  </si>
  <si>
    <t>1EW24IS015</t>
  </si>
  <si>
    <t>CHETHAN LAKSHMAN BAGI</t>
  </si>
  <si>
    <t>1EW24IS016</t>
  </si>
  <si>
    <t>CHINMAY R</t>
  </si>
  <si>
    <t>1EW24IS017</t>
  </si>
  <si>
    <t>DARSHAN A</t>
  </si>
  <si>
    <t>1EW24IS018</t>
  </si>
  <si>
    <t>DARSHAN P R</t>
  </si>
  <si>
    <t>1EW24IS019</t>
  </si>
  <si>
    <t>DEEKSHA D</t>
  </si>
  <si>
    <t>1EW24IS020</t>
  </si>
  <si>
    <t>DEEKSHITH A S</t>
  </si>
  <si>
    <t>1EW24IS022</t>
  </si>
  <si>
    <t>DEVARAJU C N</t>
  </si>
  <si>
    <t>1EW24IS023</t>
  </si>
  <si>
    <t>DHANUSH D S</t>
  </si>
  <si>
    <t>1EW24IS024</t>
  </si>
  <si>
    <t>DHANUSHREE S</t>
  </si>
  <si>
    <t>1EW24IS025</t>
  </si>
  <si>
    <t>DHARANI P</t>
  </si>
  <si>
    <t>1EW24IS026</t>
  </si>
  <si>
    <t>DHARMESH GOWDA C H</t>
  </si>
  <si>
    <t>1EW24IS027</t>
  </si>
  <si>
    <t>DHEEMANTH S</t>
  </si>
  <si>
    <t>1EW24IS028</t>
  </si>
  <si>
    <t>GOURISH U GACHCHINAMANI</t>
  </si>
  <si>
    <t>1EW24IS029</t>
  </si>
  <si>
    <t>HARSHA R</t>
  </si>
  <si>
    <t>1EW24IS030</t>
  </si>
  <si>
    <t>HEMANTH K</t>
  </si>
  <si>
    <t>1EW24IS031</t>
  </si>
  <si>
    <t>INCHARA K V</t>
  </si>
  <si>
    <t>1EW24IS032</t>
  </si>
  <si>
    <t>INDU HIREMATH</t>
  </si>
  <si>
    <t>1EW24IS033</t>
  </si>
  <si>
    <t>ISHAN U SHET</t>
  </si>
  <si>
    <t>1EW24IS034</t>
  </si>
  <si>
    <t>JAGADESHA G S</t>
  </si>
  <si>
    <t>1EW24IS035</t>
  </si>
  <si>
    <t>KARANAM KASHIRAO</t>
  </si>
  <si>
    <t>1EW24IS036</t>
  </si>
  <si>
    <t>KARTHIK S</t>
  </si>
  <si>
    <t>1EW24IS037</t>
  </si>
  <si>
    <t>KAVYA</t>
  </si>
  <si>
    <t>1EW24IS038</t>
  </si>
  <si>
    <t>KEERTHANA M</t>
  </si>
  <si>
    <t>1EW24IS039</t>
  </si>
  <si>
    <t>KRATHIKA G</t>
  </si>
  <si>
    <t>1EW24IS040</t>
  </si>
  <si>
    <t>KRUTHIKA C A</t>
  </si>
  <si>
    <t>1EW24IS041</t>
  </si>
  <si>
    <t>KUSHAL G N</t>
  </si>
  <si>
    <t>1EW24IS042</t>
  </si>
  <si>
    <t>KUSUMA C K</t>
  </si>
  <si>
    <t>1EW24IS043</t>
  </si>
  <si>
    <t>KUSUMA K</t>
  </si>
  <si>
    <t>1EW24IS044</t>
  </si>
  <si>
    <t>LAVANYA R</t>
  </si>
  <si>
    <t>1EW24IS045</t>
  </si>
  <si>
    <t>LEHASHREE S</t>
  </si>
  <si>
    <t>1EW24IS046</t>
  </si>
  <si>
    <t>LIKITH S</t>
  </si>
  <si>
    <t>1EW24IS047</t>
  </si>
  <si>
    <t>M SUMITH</t>
  </si>
  <si>
    <t>1EW24IS048</t>
  </si>
  <si>
    <t xml:space="preserve">MANOJ K M </t>
  </si>
  <si>
    <t>1EW24IS049</t>
  </si>
  <si>
    <t>MANOJ KRISHNA</t>
  </si>
  <si>
    <t>1EW24IS050</t>
  </si>
  <si>
    <t>MANU YASHAVANTAGOUDA HEBBAL</t>
  </si>
  <si>
    <t>1EW24IS051</t>
  </si>
  <si>
    <t>MANUKUMAR K P</t>
  </si>
  <si>
    <t>1EW24IS052</t>
  </si>
  <si>
    <t>MANYA B M</t>
  </si>
  <si>
    <t>1EW24IS053</t>
  </si>
  <si>
    <t>MAYURESH G</t>
  </si>
  <si>
    <t>1EW24IS054</t>
  </si>
  <si>
    <t xml:space="preserve">MEERAN PASHA </t>
  </si>
  <si>
    <t>1EW24IS055</t>
  </si>
  <si>
    <t xml:space="preserve">MEGHANA </t>
  </si>
  <si>
    <t>1EW24IS056</t>
  </si>
  <si>
    <t>MEGHANA A</t>
  </si>
  <si>
    <t>1EW24IS057</t>
  </si>
  <si>
    <t>MOUNIKA R M</t>
  </si>
  <si>
    <t>1EW24IS058</t>
  </si>
  <si>
    <t>NANASU M P</t>
  </si>
  <si>
    <t>1EW24IS059</t>
  </si>
  <si>
    <t>NAVEENA R</t>
  </si>
  <si>
    <t>LATERAL ENTRY</t>
  </si>
  <si>
    <t>DEPARTMENT OF ARTIFICIAL INTELLIGENCE AND DATA SCIENCE</t>
  </si>
  <si>
    <t>3rd AD STUDENTS LIST</t>
  </si>
  <si>
    <t>1EW24AD001</t>
  </si>
  <si>
    <t>1EW24AD002</t>
  </si>
  <si>
    <t>ABHISHEK M</t>
  </si>
  <si>
    <t>1EW24AD003</t>
  </si>
  <si>
    <t>AJAY PAWAR</t>
  </si>
  <si>
    <t>1EW24AD004</t>
  </si>
  <si>
    <t>ARCHANA A</t>
  </si>
  <si>
    <t>1EW24AD005</t>
  </si>
  <si>
    <t>ARFA KHAN</t>
  </si>
  <si>
    <t>1EW24AD006</t>
  </si>
  <si>
    <t xml:space="preserve">ARPIT GORNAL </t>
  </si>
  <si>
    <t>1EW24AD007</t>
  </si>
  <si>
    <t>AVINASH</t>
  </si>
  <si>
    <t>1EW24AD008</t>
  </si>
  <si>
    <t>BHAVITHA GIRISH S</t>
  </si>
  <si>
    <t>1EW24AD009</t>
  </si>
  <si>
    <t>BHOOMIKA</t>
  </si>
  <si>
    <t>1EW24AD010</t>
  </si>
  <si>
    <t>C S DEEPIKA</t>
  </si>
  <si>
    <t>1EW24AD011</t>
  </si>
  <si>
    <t>DHANUSHREE G</t>
  </si>
  <si>
    <t>1EW24AD012</t>
  </si>
  <si>
    <t>DISHA SATISH</t>
  </si>
  <si>
    <t>1EW24AD013</t>
  </si>
  <si>
    <t>DIVYA R</t>
  </si>
  <si>
    <t>1EW24AD014</t>
  </si>
  <si>
    <t>ESHWARI G S</t>
  </si>
  <si>
    <t>1EW24AD015</t>
  </si>
  <si>
    <t>GAURAB SAHA</t>
  </si>
  <si>
    <t>1EW24AD016</t>
  </si>
  <si>
    <t>GULNAZ BANU</t>
  </si>
  <si>
    <t>1EW24AD017</t>
  </si>
  <si>
    <t>GURU PRASAD S</t>
  </si>
  <si>
    <t>1EW24AD018</t>
  </si>
  <si>
    <t>HEMANTH GOWDA D</t>
  </si>
  <si>
    <t>1EW24AD019</t>
  </si>
  <si>
    <t>KARTHIK C S</t>
  </si>
  <si>
    <t>1EW24AD020</t>
  </si>
  <si>
    <t>KAVYA DESAI</t>
  </si>
  <si>
    <t>1EW24AD021</t>
  </si>
  <si>
    <t>LATHESH A</t>
  </si>
  <si>
    <t>1EW24AD022</t>
  </si>
  <si>
    <t>1EW24AD023</t>
  </si>
  <si>
    <t>LOKESH G</t>
  </si>
  <si>
    <t>1EW24AD024</t>
  </si>
  <si>
    <t>MAILAPPA URMI</t>
  </si>
  <si>
    <t>1EW24AD025</t>
  </si>
  <si>
    <t>MANJULA</t>
  </si>
  <si>
    <t>1EW24AD026</t>
  </si>
  <si>
    <t>MEGHANA S P</t>
  </si>
  <si>
    <t>1EW24AD028</t>
  </si>
  <si>
    <t>NEHA R</t>
  </si>
  <si>
    <t>1EW24AD029</t>
  </si>
  <si>
    <t>OMKAR MANOJ NAIK</t>
  </si>
  <si>
    <t>1EW24AD030</t>
  </si>
  <si>
    <t xml:space="preserve">PAVANA R </t>
  </si>
  <si>
    <t xml:space="preserve">1EW24AD031 </t>
  </si>
  <si>
    <t>PRAJWAL H M</t>
  </si>
  <si>
    <t>1EW24AD032</t>
  </si>
  <si>
    <t>PREETHAM GOWDA K R</t>
  </si>
  <si>
    <t>1EW24AD033</t>
  </si>
  <si>
    <t>RAGHAVENDRA SUBHAS SAPTASAGAR</t>
  </si>
  <si>
    <t>1EW24AD034</t>
  </si>
  <si>
    <t>RAHUL T MADHAV</t>
  </si>
  <si>
    <t>1EW24AD035</t>
  </si>
  <si>
    <t>RAKSHITHA C R</t>
  </si>
  <si>
    <t>1EW24AD036</t>
  </si>
  <si>
    <t>RAMESH BIJJUR</t>
  </si>
  <si>
    <t>1EW24AD037</t>
  </si>
  <si>
    <t>REDDY SHEKHARA C S</t>
  </si>
  <si>
    <t>1EW24AD038</t>
  </si>
  <si>
    <t>REKHAPALLY GOLAXMI VARSHITHA</t>
  </si>
  <si>
    <t>1EW24AD040</t>
  </si>
  <si>
    <t>SAANIKA H M</t>
  </si>
  <si>
    <t>1EW24AD041</t>
  </si>
  <si>
    <t>SANIHA S</t>
  </si>
  <si>
    <t>1EW24AD042</t>
  </si>
  <si>
    <t>SHASHANK VISHVAKARMA</t>
  </si>
  <si>
    <t>1EW24AD043</t>
  </si>
  <si>
    <t>SNEHA S</t>
  </si>
  <si>
    <t>1EW24AD044</t>
  </si>
  <si>
    <t>SONIKA P</t>
  </si>
  <si>
    <t>1EW24AD045</t>
  </si>
  <si>
    <t>SPOORTHI S B</t>
  </si>
  <si>
    <t>1EW24AD046</t>
  </si>
  <si>
    <t>SPOORTI MANJUNATH NAIK</t>
  </si>
  <si>
    <t>1EW24AD048</t>
  </si>
  <si>
    <t>SUCHITHRA V M</t>
  </si>
  <si>
    <t>1EW24AD049</t>
  </si>
  <si>
    <t>SUMANA R SHETTY</t>
  </si>
  <si>
    <t>1EW24AD050</t>
  </si>
  <si>
    <t>SWATHI P</t>
  </si>
  <si>
    <t>1EW24AD051</t>
  </si>
  <si>
    <t>TEJASHREE N S</t>
  </si>
  <si>
    <t>KARTIK GOGI</t>
  </si>
  <si>
    <t>P MOUNIKA</t>
  </si>
  <si>
    <t>GAGAN V P</t>
  </si>
  <si>
    <t>SAKSHI BELLOLLE</t>
  </si>
  <si>
    <t>1EW23AD019</t>
  </si>
  <si>
    <t>1EW23AD058</t>
  </si>
  <si>
    <t>1EW23AD046</t>
  </si>
  <si>
    <t>SHRISTI V M</t>
  </si>
  <si>
    <t>1EW23AD052</t>
  </si>
  <si>
    <t>TEJAS SHIVAPUTRAPPA</t>
  </si>
  <si>
    <t>IA1</t>
  </si>
  <si>
    <t>IA2</t>
  </si>
  <si>
    <t>THEORY</t>
  </si>
  <si>
    <t>LAB</t>
  </si>
  <si>
    <t>Project</t>
  </si>
  <si>
    <t>Certification</t>
  </si>
  <si>
    <t>LAB Record</t>
  </si>
  <si>
    <t>THEORY AVG</t>
  </si>
  <si>
    <t>LAB AVG</t>
  </si>
  <si>
    <t>FINAL MARKS</t>
  </si>
  <si>
    <t>JAYANTH M J</t>
  </si>
  <si>
    <t>YESHWANTH M</t>
  </si>
</sst>
</file>

<file path=xl/styles.xml><?xml version="1.0" encoding="utf-8"?>
<styleSheet xmlns="http://schemas.openxmlformats.org/spreadsheetml/2006/main">
  <fonts count="7">
    <font>
      <sz val="11"/>
      <name val="Calibri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/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5" fillId="0" borderId="2" xfId="0" applyFont="1" applyBorder="1"/>
    <xf numFmtId="0" fontId="0" fillId="0" borderId="2" xfId="0" applyBorder="1"/>
    <xf numFmtId="0" fontId="4" fillId="0" borderId="2" xfId="0" applyFont="1" applyBorder="1"/>
    <xf numFmtId="0" fontId="5" fillId="0" borderId="4" xfId="0" applyFont="1" applyBorder="1"/>
    <xf numFmtId="0" fontId="5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6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2" fontId="0" fillId="0" borderId="2" xfId="0" applyNumberFormat="1" applyBorder="1"/>
    <xf numFmtId="1" fontId="0" fillId="0" borderId="0" xfId="0" applyNumberFormat="1"/>
    <xf numFmtId="1" fontId="5" fillId="0" borderId="2" xfId="0" applyNumberFormat="1" applyFont="1" applyBorder="1"/>
    <xf numFmtId="1" fontId="0" fillId="0" borderId="2" xfId="0" applyNumberFormat="1" applyBorder="1"/>
    <xf numFmtId="0" fontId="6" fillId="0" borderId="2" xfId="0" applyFont="1" applyBorder="1"/>
    <xf numFmtId="1" fontId="6" fillId="0" borderId="2" xfId="0" applyNumberFormat="1" applyFont="1" applyBorder="1"/>
    <xf numFmtId="0" fontId="2" fillId="0" borderId="5" xfId="0" applyFont="1" applyBorder="1" applyAlignment="1">
      <alignment horizontal="left" wrapText="1"/>
    </xf>
    <xf numFmtId="0" fontId="1" fillId="0" borderId="0" xfId="0" applyFont="1" applyAlignment="1">
      <alignment horizontal="center" vertical="top"/>
    </xf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85725</xdr:rowOff>
    </xdr:from>
    <xdr:ext cx="552450" cy="523875"/>
    <xdr:pic>
      <xdr:nvPicPr>
        <xdr:cNvPr id="2" name="image4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342900</xdr:colOff>
      <xdr:row>0</xdr:row>
      <xdr:rowOff>47625</xdr:rowOff>
    </xdr:from>
    <xdr:ext cx="552450" cy="523875"/>
    <xdr:pic>
      <xdr:nvPicPr>
        <xdr:cNvPr id="2" name="image6.jpg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0"/>
  <sheetViews>
    <sheetView tabSelected="1" workbookViewId="0">
      <pane ySplit="1" topLeftCell="A20" activePane="bottomLeft" state="frozen"/>
      <selection pane="bottomLeft" activeCell="E32" sqref="E32"/>
    </sheetView>
  </sheetViews>
  <sheetFormatPr defaultColWidth="14.42578125" defaultRowHeight="15" customHeight="1"/>
  <cols>
    <col min="1" max="1" width="9.28515625" customWidth="1"/>
    <col min="2" max="2" width="14.42578125" customWidth="1"/>
    <col min="3" max="3" width="40.5703125" customWidth="1"/>
    <col min="4" max="4" width="4.140625" customWidth="1"/>
    <col min="5" max="5" width="4.28515625" customWidth="1"/>
    <col min="6" max="6" width="11.7109375" bestFit="1" customWidth="1"/>
    <col min="7" max="7" width="4.42578125" customWidth="1"/>
    <col min="8" max="8" width="4.7109375" customWidth="1"/>
    <col min="9" max="9" width="8.7109375" customWidth="1"/>
    <col min="10" max="10" width="10.85546875" bestFit="1" customWidth="1"/>
    <col min="11" max="11" width="8.7109375" customWidth="1"/>
    <col min="12" max="12" width="10.85546875" customWidth="1"/>
    <col min="13" max="13" width="12" style="22" bestFit="1" customWidth="1"/>
  </cols>
  <sheetData>
    <row r="1" spans="1:13" ht="15.75">
      <c r="A1" s="30" t="s">
        <v>0</v>
      </c>
      <c r="B1" s="29"/>
      <c r="C1" s="29"/>
      <c r="D1" s="29"/>
      <c r="E1" s="29"/>
      <c r="F1" s="29"/>
      <c r="G1" s="29"/>
    </row>
    <row r="2" spans="1:13" ht="15.75">
      <c r="A2" s="30" t="s">
        <v>1</v>
      </c>
      <c r="B2" s="29"/>
      <c r="C2" s="29"/>
      <c r="D2" s="29"/>
      <c r="E2" s="29"/>
      <c r="F2" s="29"/>
      <c r="G2" s="29"/>
    </row>
    <row r="3" spans="1:13" ht="15.75">
      <c r="A3" s="28" t="s">
        <v>5</v>
      </c>
      <c r="B3" s="29"/>
      <c r="C3" s="29"/>
    </row>
    <row r="4" spans="1:13" ht="15.75">
      <c r="A4" s="1"/>
      <c r="B4" s="1"/>
      <c r="C4" s="1"/>
      <c r="D4" s="31" t="s">
        <v>231</v>
      </c>
      <c r="E4" s="31"/>
      <c r="F4" s="16" t="s">
        <v>236</v>
      </c>
      <c r="G4" s="31" t="s">
        <v>232</v>
      </c>
      <c r="H4" s="31"/>
      <c r="I4" s="16" t="s">
        <v>237</v>
      </c>
      <c r="J4" s="16" t="s">
        <v>235</v>
      </c>
      <c r="K4" s="12" t="s">
        <v>233</v>
      </c>
      <c r="L4" s="12" t="s">
        <v>234</v>
      </c>
      <c r="M4" s="23" t="s">
        <v>238</v>
      </c>
    </row>
    <row r="5" spans="1:13" ht="15.75" customHeight="1">
      <c r="A5" s="2" t="s">
        <v>2</v>
      </c>
      <c r="B5" s="3" t="s">
        <v>3</v>
      </c>
      <c r="C5" s="10" t="s">
        <v>4</v>
      </c>
      <c r="D5" s="15" t="s">
        <v>229</v>
      </c>
      <c r="E5" s="15" t="s">
        <v>230</v>
      </c>
      <c r="F5" s="15"/>
      <c r="G5" s="12" t="s">
        <v>229</v>
      </c>
      <c r="H5" s="12" t="s">
        <v>230</v>
      </c>
      <c r="I5" s="12"/>
      <c r="J5" s="13"/>
      <c r="K5" s="13"/>
      <c r="L5" s="13"/>
      <c r="M5" s="24"/>
    </row>
    <row r="6" spans="1:13" ht="15.75" customHeight="1">
      <c r="A6" s="4">
        <v>1</v>
      </c>
      <c r="B6" s="5" t="s">
        <v>6</v>
      </c>
      <c r="C6" s="11" t="s">
        <v>7</v>
      </c>
      <c r="D6" s="13">
        <v>21</v>
      </c>
      <c r="E6" s="13">
        <v>25</v>
      </c>
      <c r="F6" s="13">
        <f t="shared" ref="F6:F63" si="0">(2*D6+2*E6)/10</f>
        <v>9.1999999999999993</v>
      </c>
      <c r="G6" s="13">
        <v>80</v>
      </c>
      <c r="H6" s="13">
        <v>68</v>
      </c>
      <c r="I6" s="13">
        <f t="shared" ref="I6:I63" si="1">(G6+H6)/200*10</f>
        <v>7.4</v>
      </c>
      <c r="J6" s="13">
        <v>10</v>
      </c>
      <c r="K6" s="13">
        <v>10</v>
      </c>
      <c r="L6" s="13">
        <v>10</v>
      </c>
      <c r="M6" s="24">
        <f t="shared" ref="M6:M63" si="2">F6+I6+J6+K6</f>
        <v>36.6</v>
      </c>
    </row>
    <row r="7" spans="1:13" ht="15.75" customHeight="1">
      <c r="A7" s="4">
        <v>2</v>
      </c>
      <c r="B7" s="5" t="s">
        <v>8</v>
      </c>
      <c r="C7" s="11" t="s">
        <v>9</v>
      </c>
      <c r="D7" s="13">
        <v>32</v>
      </c>
      <c r="E7" s="13">
        <v>29</v>
      </c>
      <c r="F7" s="13">
        <f t="shared" si="0"/>
        <v>12.2</v>
      </c>
      <c r="G7" s="13">
        <v>86</v>
      </c>
      <c r="H7" s="13">
        <v>0</v>
      </c>
      <c r="I7" s="13">
        <f t="shared" si="1"/>
        <v>4.3</v>
      </c>
      <c r="J7" s="13">
        <v>10</v>
      </c>
      <c r="K7" s="13">
        <v>10</v>
      </c>
      <c r="L7" s="13">
        <v>10</v>
      </c>
      <c r="M7" s="24">
        <f t="shared" si="2"/>
        <v>36.5</v>
      </c>
    </row>
    <row r="8" spans="1:13" ht="15.75" customHeight="1">
      <c r="A8" s="4">
        <v>3</v>
      </c>
      <c r="B8" s="5" t="s">
        <v>10</v>
      </c>
      <c r="C8" s="11" t="s">
        <v>11</v>
      </c>
      <c r="D8" s="13">
        <v>18</v>
      </c>
      <c r="E8" s="13">
        <v>43</v>
      </c>
      <c r="F8" s="13">
        <f t="shared" si="0"/>
        <v>12.2</v>
      </c>
      <c r="G8" s="13">
        <v>80</v>
      </c>
      <c r="H8" s="13">
        <v>86</v>
      </c>
      <c r="I8" s="13">
        <f t="shared" si="1"/>
        <v>8.2999999999999989</v>
      </c>
      <c r="J8" s="13">
        <v>10</v>
      </c>
      <c r="K8" s="13">
        <v>10</v>
      </c>
      <c r="L8" s="13">
        <v>10</v>
      </c>
      <c r="M8" s="24">
        <f t="shared" si="2"/>
        <v>40.5</v>
      </c>
    </row>
    <row r="9" spans="1:13" ht="15.75" customHeight="1">
      <c r="A9" s="4">
        <v>4</v>
      </c>
      <c r="B9" s="5" t="s">
        <v>12</v>
      </c>
      <c r="C9" s="11" t="s">
        <v>13</v>
      </c>
      <c r="D9" s="13">
        <v>43</v>
      </c>
      <c r="E9" s="13">
        <v>50</v>
      </c>
      <c r="F9" s="13">
        <f t="shared" si="0"/>
        <v>18.600000000000001</v>
      </c>
      <c r="G9" s="13">
        <v>95</v>
      </c>
      <c r="H9" s="13">
        <v>96</v>
      </c>
      <c r="I9" s="13">
        <f t="shared" si="1"/>
        <v>9.5499999999999989</v>
      </c>
      <c r="J9" s="13">
        <v>10</v>
      </c>
      <c r="K9" s="13">
        <v>10</v>
      </c>
      <c r="L9" s="13">
        <v>10</v>
      </c>
      <c r="M9" s="24">
        <f t="shared" si="2"/>
        <v>48.15</v>
      </c>
    </row>
    <row r="10" spans="1:13" ht="15.75" customHeight="1">
      <c r="A10" s="4">
        <v>5</v>
      </c>
      <c r="B10" s="5" t="s">
        <v>14</v>
      </c>
      <c r="C10" s="11" t="s">
        <v>15</v>
      </c>
      <c r="D10" s="13">
        <v>37</v>
      </c>
      <c r="E10" s="13">
        <v>41</v>
      </c>
      <c r="F10" s="13">
        <f t="shared" si="0"/>
        <v>15.6</v>
      </c>
      <c r="G10" s="13">
        <v>83</v>
      </c>
      <c r="H10" s="13">
        <v>98</v>
      </c>
      <c r="I10" s="13">
        <f t="shared" si="1"/>
        <v>9.0500000000000007</v>
      </c>
      <c r="J10" s="13">
        <v>10</v>
      </c>
      <c r="K10" s="13">
        <v>10</v>
      </c>
      <c r="L10" s="13">
        <v>10</v>
      </c>
      <c r="M10" s="24">
        <f t="shared" si="2"/>
        <v>44.65</v>
      </c>
    </row>
    <row r="11" spans="1:13" ht="15.75" customHeight="1">
      <c r="A11" s="4">
        <v>6</v>
      </c>
      <c r="B11" s="5" t="s">
        <v>16</v>
      </c>
      <c r="C11" s="11" t="s">
        <v>17</v>
      </c>
      <c r="D11" s="13">
        <v>27</v>
      </c>
      <c r="E11" s="13">
        <v>35</v>
      </c>
      <c r="F11" s="13">
        <f t="shared" si="0"/>
        <v>12.4</v>
      </c>
      <c r="G11" s="13">
        <v>98</v>
      </c>
      <c r="H11" s="13">
        <v>98</v>
      </c>
      <c r="I11" s="13">
        <f t="shared" si="1"/>
        <v>9.8000000000000007</v>
      </c>
      <c r="J11" s="13">
        <v>10</v>
      </c>
      <c r="K11" s="13">
        <v>10</v>
      </c>
      <c r="L11" s="13">
        <v>10</v>
      </c>
      <c r="M11" s="24">
        <f t="shared" si="2"/>
        <v>42.2</v>
      </c>
    </row>
    <row r="12" spans="1:13" ht="15.75" customHeight="1">
      <c r="A12" s="4">
        <v>7</v>
      </c>
      <c r="B12" s="5" t="s">
        <v>18</v>
      </c>
      <c r="C12" s="11" t="s">
        <v>19</v>
      </c>
      <c r="D12" s="13">
        <v>11</v>
      </c>
      <c r="E12" s="13">
        <v>29</v>
      </c>
      <c r="F12" s="13">
        <f t="shared" si="0"/>
        <v>8</v>
      </c>
      <c r="G12" s="13">
        <v>80</v>
      </c>
      <c r="H12" s="13">
        <v>65</v>
      </c>
      <c r="I12" s="13">
        <f t="shared" si="1"/>
        <v>7.25</v>
      </c>
      <c r="J12" s="13">
        <v>10</v>
      </c>
      <c r="K12" s="13">
        <v>9</v>
      </c>
      <c r="L12" s="13">
        <v>10</v>
      </c>
      <c r="M12" s="24">
        <f t="shared" si="2"/>
        <v>34.25</v>
      </c>
    </row>
    <row r="13" spans="1:13" ht="15.75" customHeight="1">
      <c r="A13" s="4">
        <v>8</v>
      </c>
      <c r="B13" s="5" t="s">
        <v>20</v>
      </c>
      <c r="C13" s="11" t="s">
        <v>21</v>
      </c>
      <c r="D13" s="13">
        <v>50</v>
      </c>
      <c r="E13" s="13">
        <v>45</v>
      </c>
      <c r="F13" s="13">
        <f t="shared" si="0"/>
        <v>19</v>
      </c>
      <c r="G13" s="13">
        <v>100</v>
      </c>
      <c r="H13" s="13">
        <v>75</v>
      </c>
      <c r="I13" s="13">
        <f t="shared" si="1"/>
        <v>8.75</v>
      </c>
      <c r="J13" s="13">
        <v>10</v>
      </c>
      <c r="K13" s="13">
        <v>10</v>
      </c>
      <c r="L13" s="13">
        <v>10</v>
      </c>
      <c r="M13" s="24">
        <f t="shared" si="2"/>
        <v>47.75</v>
      </c>
    </row>
    <row r="14" spans="1:13" ht="15.75" customHeight="1">
      <c r="A14" s="4">
        <v>9</v>
      </c>
      <c r="B14" s="5" t="s">
        <v>22</v>
      </c>
      <c r="C14" s="11" t="s">
        <v>23</v>
      </c>
      <c r="D14" s="13">
        <v>18</v>
      </c>
      <c r="E14" s="13">
        <v>29</v>
      </c>
      <c r="F14" s="13">
        <f t="shared" si="0"/>
        <v>9.4</v>
      </c>
      <c r="G14" s="13">
        <v>80</v>
      </c>
      <c r="H14" s="13">
        <v>53</v>
      </c>
      <c r="I14" s="13">
        <f t="shared" si="1"/>
        <v>6.65</v>
      </c>
      <c r="J14" s="13">
        <v>10</v>
      </c>
      <c r="K14" s="13">
        <v>10</v>
      </c>
      <c r="L14" s="13">
        <v>10</v>
      </c>
      <c r="M14" s="24">
        <f t="shared" si="2"/>
        <v>36.049999999999997</v>
      </c>
    </row>
    <row r="15" spans="1:13" ht="15.75" customHeight="1">
      <c r="A15" s="4">
        <v>10</v>
      </c>
      <c r="B15" s="5" t="s">
        <v>24</v>
      </c>
      <c r="C15" s="11" t="s">
        <v>25</v>
      </c>
      <c r="D15" s="13">
        <v>16</v>
      </c>
      <c r="E15" s="13">
        <v>27</v>
      </c>
      <c r="F15" s="13">
        <f t="shared" si="0"/>
        <v>8.6</v>
      </c>
      <c r="G15" s="13">
        <v>80</v>
      </c>
      <c r="H15" s="13">
        <v>69</v>
      </c>
      <c r="I15" s="13">
        <f t="shared" si="1"/>
        <v>7.45</v>
      </c>
      <c r="J15" s="13">
        <v>10</v>
      </c>
      <c r="K15" s="13">
        <v>8</v>
      </c>
      <c r="L15" s="13">
        <v>10</v>
      </c>
      <c r="M15" s="24">
        <f t="shared" si="2"/>
        <v>34.049999999999997</v>
      </c>
    </row>
    <row r="16" spans="1:13" ht="15.75" customHeight="1">
      <c r="A16" s="4">
        <v>11</v>
      </c>
      <c r="B16" s="5" t="s">
        <v>26</v>
      </c>
      <c r="C16" s="11" t="s">
        <v>27</v>
      </c>
      <c r="D16" s="13">
        <v>25</v>
      </c>
      <c r="E16" s="13">
        <v>38</v>
      </c>
      <c r="F16" s="13">
        <f t="shared" si="0"/>
        <v>12.6</v>
      </c>
      <c r="G16" s="13">
        <v>80</v>
      </c>
      <c r="H16" s="13">
        <v>65</v>
      </c>
      <c r="I16" s="13">
        <f t="shared" si="1"/>
        <v>7.25</v>
      </c>
      <c r="J16" s="13">
        <v>10</v>
      </c>
      <c r="K16" s="13">
        <v>9</v>
      </c>
      <c r="L16" s="13">
        <v>10</v>
      </c>
      <c r="M16" s="24">
        <f t="shared" si="2"/>
        <v>38.85</v>
      </c>
    </row>
    <row r="17" spans="1:13" ht="15.75" customHeight="1">
      <c r="A17" s="4">
        <v>12</v>
      </c>
      <c r="B17" s="5" t="s">
        <v>28</v>
      </c>
      <c r="C17" s="11" t="s">
        <v>29</v>
      </c>
      <c r="D17" s="13">
        <v>28</v>
      </c>
      <c r="E17" s="13">
        <v>33</v>
      </c>
      <c r="F17" s="13">
        <f t="shared" si="0"/>
        <v>12.2</v>
      </c>
      <c r="G17" s="13">
        <v>86</v>
      </c>
      <c r="H17" s="13">
        <v>86</v>
      </c>
      <c r="I17" s="13">
        <f t="shared" si="1"/>
        <v>8.6</v>
      </c>
      <c r="J17" s="13">
        <v>10</v>
      </c>
      <c r="K17" s="13">
        <v>10</v>
      </c>
      <c r="L17" s="13">
        <v>10</v>
      </c>
      <c r="M17" s="24">
        <f t="shared" si="2"/>
        <v>40.799999999999997</v>
      </c>
    </row>
    <row r="18" spans="1:13" ht="15.75" customHeight="1">
      <c r="A18" s="4">
        <v>13</v>
      </c>
      <c r="B18" s="5" t="s">
        <v>30</v>
      </c>
      <c r="C18" s="11" t="s">
        <v>31</v>
      </c>
      <c r="D18" s="13">
        <v>19</v>
      </c>
      <c r="E18" s="13">
        <v>13</v>
      </c>
      <c r="F18" s="13">
        <f t="shared" si="0"/>
        <v>6.4</v>
      </c>
      <c r="G18" s="13">
        <v>80</v>
      </c>
      <c r="H18" s="13">
        <v>80</v>
      </c>
      <c r="I18" s="13">
        <f t="shared" si="1"/>
        <v>8</v>
      </c>
      <c r="J18" s="13">
        <v>10</v>
      </c>
      <c r="K18" s="13">
        <v>9</v>
      </c>
      <c r="L18" s="13">
        <v>10</v>
      </c>
      <c r="M18" s="24">
        <f t="shared" si="2"/>
        <v>33.4</v>
      </c>
    </row>
    <row r="19" spans="1:13" ht="15.75" customHeight="1">
      <c r="A19" s="4">
        <v>14</v>
      </c>
      <c r="B19" s="5" t="s">
        <v>32</v>
      </c>
      <c r="C19" s="11" t="s">
        <v>33</v>
      </c>
      <c r="D19" s="13">
        <v>30</v>
      </c>
      <c r="E19" s="13">
        <v>31</v>
      </c>
      <c r="F19" s="13">
        <f t="shared" si="0"/>
        <v>12.2</v>
      </c>
      <c r="G19" s="13">
        <v>80</v>
      </c>
      <c r="H19" s="13">
        <v>98</v>
      </c>
      <c r="I19" s="13">
        <f t="shared" si="1"/>
        <v>8.9</v>
      </c>
      <c r="J19" s="13">
        <v>10</v>
      </c>
      <c r="K19" s="13">
        <v>10</v>
      </c>
      <c r="L19" s="13">
        <v>10</v>
      </c>
      <c r="M19" s="24">
        <f t="shared" si="2"/>
        <v>41.1</v>
      </c>
    </row>
    <row r="20" spans="1:13" ht="15.75" customHeight="1">
      <c r="A20" s="4">
        <v>15</v>
      </c>
      <c r="B20" s="5" t="s">
        <v>34</v>
      </c>
      <c r="C20" s="11" t="s">
        <v>35</v>
      </c>
      <c r="D20" s="13">
        <v>50</v>
      </c>
      <c r="E20" s="13">
        <v>50</v>
      </c>
      <c r="F20" s="13">
        <f t="shared" si="0"/>
        <v>20</v>
      </c>
      <c r="G20" s="13">
        <v>100</v>
      </c>
      <c r="H20" s="13">
        <v>88</v>
      </c>
      <c r="I20" s="13">
        <f t="shared" si="1"/>
        <v>9.3999999999999986</v>
      </c>
      <c r="J20" s="13">
        <v>10</v>
      </c>
      <c r="K20" s="13">
        <v>10</v>
      </c>
      <c r="L20" s="13">
        <v>10</v>
      </c>
      <c r="M20" s="24">
        <f t="shared" si="2"/>
        <v>49.4</v>
      </c>
    </row>
    <row r="21" spans="1:13" ht="15.75" customHeight="1">
      <c r="A21" s="4">
        <v>16</v>
      </c>
      <c r="B21" s="5" t="s">
        <v>36</v>
      </c>
      <c r="C21" s="11" t="s">
        <v>37</v>
      </c>
      <c r="D21" s="13">
        <v>27</v>
      </c>
      <c r="E21" s="13">
        <v>41</v>
      </c>
      <c r="F21" s="13">
        <f t="shared" si="0"/>
        <v>13.6</v>
      </c>
      <c r="G21" s="13">
        <v>83</v>
      </c>
      <c r="H21" s="13">
        <v>90</v>
      </c>
      <c r="I21" s="13">
        <f t="shared" si="1"/>
        <v>8.65</v>
      </c>
      <c r="J21" s="13">
        <v>10</v>
      </c>
      <c r="K21" s="13">
        <v>10</v>
      </c>
      <c r="L21" s="13">
        <v>10</v>
      </c>
      <c r="M21" s="24">
        <f t="shared" si="2"/>
        <v>42.25</v>
      </c>
    </row>
    <row r="22" spans="1:13" ht="15.75" customHeight="1">
      <c r="A22" s="4">
        <v>17</v>
      </c>
      <c r="B22" s="5" t="s">
        <v>38</v>
      </c>
      <c r="C22" s="11" t="s">
        <v>39</v>
      </c>
      <c r="D22" s="13">
        <v>10</v>
      </c>
      <c r="E22" s="13">
        <v>22</v>
      </c>
      <c r="F22" s="13">
        <f t="shared" si="0"/>
        <v>6.4</v>
      </c>
      <c r="G22" s="13">
        <v>80</v>
      </c>
      <c r="H22" s="13">
        <v>80</v>
      </c>
      <c r="I22" s="13">
        <f t="shared" si="1"/>
        <v>8</v>
      </c>
      <c r="J22" s="13">
        <v>10</v>
      </c>
      <c r="K22" s="13">
        <v>10</v>
      </c>
      <c r="L22" s="13">
        <v>10</v>
      </c>
      <c r="M22" s="24">
        <f t="shared" si="2"/>
        <v>34.4</v>
      </c>
    </row>
    <row r="23" spans="1:13" ht="15.75" customHeight="1">
      <c r="A23" s="4">
        <v>18</v>
      </c>
      <c r="B23" s="5" t="s">
        <v>40</v>
      </c>
      <c r="C23" s="11" t="s">
        <v>41</v>
      </c>
      <c r="D23" s="13">
        <v>32</v>
      </c>
      <c r="E23" s="13">
        <v>45</v>
      </c>
      <c r="F23" s="13">
        <f t="shared" si="0"/>
        <v>15.4</v>
      </c>
      <c r="G23" s="13">
        <v>80</v>
      </c>
      <c r="H23" s="13">
        <v>90</v>
      </c>
      <c r="I23" s="13">
        <f t="shared" si="1"/>
        <v>8.5</v>
      </c>
      <c r="J23" s="13">
        <v>10</v>
      </c>
      <c r="K23" s="13">
        <v>10</v>
      </c>
      <c r="L23" s="13">
        <v>10</v>
      </c>
      <c r="M23" s="24">
        <f t="shared" si="2"/>
        <v>43.9</v>
      </c>
    </row>
    <row r="24" spans="1:13" ht="15.75" customHeight="1">
      <c r="A24" s="4">
        <v>19</v>
      </c>
      <c r="B24" s="5" t="s">
        <v>42</v>
      </c>
      <c r="C24" s="11" t="s">
        <v>43</v>
      </c>
      <c r="D24" s="13">
        <v>28</v>
      </c>
      <c r="E24" s="13">
        <v>20</v>
      </c>
      <c r="F24" s="13">
        <f t="shared" si="0"/>
        <v>9.6</v>
      </c>
      <c r="G24" s="13">
        <v>80</v>
      </c>
      <c r="H24" s="13">
        <v>80</v>
      </c>
      <c r="I24" s="13">
        <f t="shared" si="1"/>
        <v>8</v>
      </c>
      <c r="J24" s="13">
        <v>10</v>
      </c>
      <c r="K24" s="13">
        <v>10</v>
      </c>
      <c r="L24" s="13">
        <v>10</v>
      </c>
      <c r="M24" s="24">
        <f t="shared" si="2"/>
        <v>37.6</v>
      </c>
    </row>
    <row r="25" spans="1:13" ht="15.75" customHeight="1">
      <c r="A25" s="4">
        <v>20</v>
      </c>
      <c r="B25" s="5" t="s">
        <v>44</v>
      </c>
      <c r="C25" s="11" t="s">
        <v>45</v>
      </c>
      <c r="D25" s="13">
        <v>14</v>
      </c>
      <c r="E25" s="13">
        <v>28</v>
      </c>
      <c r="F25" s="13">
        <f t="shared" si="0"/>
        <v>8.4</v>
      </c>
      <c r="G25" s="13">
        <v>0</v>
      </c>
      <c r="H25" s="13">
        <v>90</v>
      </c>
      <c r="I25" s="13">
        <f t="shared" si="1"/>
        <v>4.5</v>
      </c>
      <c r="J25" s="13">
        <v>10</v>
      </c>
      <c r="K25" s="13">
        <v>10</v>
      </c>
      <c r="L25" s="13">
        <v>10</v>
      </c>
      <c r="M25" s="24">
        <f t="shared" si="2"/>
        <v>32.9</v>
      </c>
    </row>
    <row r="26" spans="1:13" ht="15.75" customHeight="1">
      <c r="A26" s="4">
        <v>21</v>
      </c>
      <c r="B26" s="5" t="s">
        <v>46</v>
      </c>
      <c r="C26" s="11" t="s">
        <v>47</v>
      </c>
      <c r="D26" s="13">
        <v>20</v>
      </c>
      <c r="E26" s="13">
        <v>31</v>
      </c>
      <c r="F26" s="13">
        <f t="shared" si="0"/>
        <v>10.199999999999999</v>
      </c>
      <c r="G26" s="13">
        <v>80</v>
      </c>
      <c r="H26" s="13">
        <v>90</v>
      </c>
      <c r="I26" s="13">
        <f t="shared" si="1"/>
        <v>8.5</v>
      </c>
      <c r="J26" s="13">
        <v>10</v>
      </c>
      <c r="K26" s="13">
        <v>10</v>
      </c>
      <c r="L26" s="13">
        <v>10</v>
      </c>
      <c r="M26" s="24">
        <f t="shared" si="2"/>
        <v>38.700000000000003</v>
      </c>
    </row>
    <row r="27" spans="1:13" ht="15.75" customHeight="1">
      <c r="A27" s="4">
        <v>22</v>
      </c>
      <c r="B27" s="5" t="s">
        <v>48</v>
      </c>
      <c r="C27" s="11" t="s">
        <v>49</v>
      </c>
      <c r="D27" s="13">
        <v>20</v>
      </c>
      <c r="E27" s="13">
        <v>43</v>
      </c>
      <c r="F27" s="13">
        <f t="shared" si="0"/>
        <v>12.6</v>
      </c>
      <c r="G27" s="13">
        <v>80</v>
      </c>
      <c r="H27" s="13">
        <v>91</v>
      </c>
      <c r="I27" s="13">
        <f t="shared" si="1"/>
        <v>8.5500000000000007</v>
      </c>
      <c r="J27" s="13">
        <v>10</v>
      </c>
      <c r="K27" s="13">
        <v>10</v>
      </c>
      <c r="L27" s="13">
        <v>10</v>
      </c>
      <c r="M27" s="24">
        <f t="shared" si="2"/>
        <v>41.15</v>
      </c>
    </row>
    <row r="28" spans="1:13" ht="15.75" customHeight="1">
      <c r="A28" s="4">
        <v>23</v>
      </c>
      <c r="B28" s="5" t="s">
        <v>50</v>
      </c>
      <c r="C28" s="11" t="s">
        <v>51</v>
      </c>
      <c r="D28" s="13">
        <v>21</v>
      </c>
      <c r="E28" s="13">
        <v>36</v>
      </c>
      <c r="F28" s="13">
        <f t="shared" si="0"/>
        <v>11.4</v>
      </c>
      <c r="G28" s="13">
        <v>80</v>
      </c>
      <c r="H28" s="13">
        <v>90</v>
      </c>
      <c r="I28" s="13">
        <f t="shared" si="1"/>
        <v>8.5</v>
      </c>
      <c r="J28" s="13">
        <v>10</v>
      </c>
      <c r="K28" s="13">
        <v>10</v>
      </c>
      <c r="L28" s="13">
        <v>10</v>
      </c>
      <c r="M28" s="24">
        <f t="shared" si="2"/>
        <v>39.9</v>
      </c>
    </row>
    <row r="29" spans="1:13" ht="15.75" customHeight="1">
      <c r="A29" s="4">
        <v>24</v>
      </c>
      <c r="B29" s="5" t="s">
        <v>52</v>
      </c>
      <c r="C29" s="11" t="s">
        <v>53</v>
      </c>
      <c r="D29" s="13">
        <v>16</v>
      </c>
      <c r="E29" s="13">
        <v>29</v>
      </c>
      <c r="F29" s="13">
        <f t="shared" si="0"/>
        <v>9</v>
      </c>
      <c r="G29" s="13">
        <v>80</v>
      </c>
      <c r="H29" s="13">
        <v>88</v>
      </c>
      <c r="I29" s="13">
        <f t="shared" si="1"/>
        <v>8.4</v>
      </c>
      <c r="J29" s="13">
        <v>10</v>
      </c>
      <c r="K29" s="13">
        <v>10</v>
      </c>
      <c r="L29" s="13">
        <v>10</v>
      </c>
      <c r="M29" s="24">
        <f t="shared" si="2"/>
        <v>37.4</v>
      </c>
    </row>
    <row r="30" spans="1:13" ht="15.75" customHeight="1">
      <c r="A30" s="4">
        <v>25</v>
      </c>
      <c r="B30" s="5" t="s">
        <v>54</v>
      </c>
      <c r="C30" s="11" t="s">
        <v>55</v>
      </c>
      <c r="D30" s="13">
        <v>33</v>
      </c>
      <c r="E30" s="13">
        <v>48</v>
      </c>
      <c r="F30" s="13">
        <f t="shared" si="0"/>
        <v>16.2</v>
      </c>
      <c r="G30" s="13">
        <v>80</v>
      </c>
      <c r="H30" s="13">
        <v>93</v>
      </c>
      <c r="I30" s="13">
        <f t="shared" si="1"/>
        <v>8.65</v>
      </c>
      <c r="J30" s="13">
        <v>10</v>
      </c>
      <c r="K30" s="13">
        <v>10</v>
      </c>
      <c r="L30" s="13">
        <v>10</v>
      </c>
      <c r="M30" s="24">
        <f t="shared" si="2"/>
        <v>44.85</v>
      </c>
    </row>
    <row r="31" spans="1:13" ht="15.75" customHeight="1">
      <c r="A31" s="4">
        <v>26</v>
      </c>
      <c r="B31" s="5" t="s">
        <v>56</v>
      </c>
      <c r="C31" s="11" t="s">
        <v>57</v>
      </c>
      <c r="D31" s="13">
        <v>50</v>
      </c>
      <c r="E31" s="13">
        <v>50</v>
      </c>
      <c r="F31" s="13">
        <f t="shared" si="0"/>
        <v>20</v>
      </c>
      <c r="G31" s="13">
        <v>100</v>
      </c>
      <c r="H31" s="13">
        <v>85</v>
      </c>
      <c r="I31" s="13">
        <f t="shared" si="1"/>
        <v>9.25</v>
      </c>
      <c r="J31" s="13">
        <v>10</v>
      </c>
      <c r="K31" s="13">
        <v>10</v>
      </c>
      <c r="L31" s="13">
        <v>10</v>
      </c>
      <c r="M31" s="24">
        <f t="shared" si="2"/>
        <v>49.25</v>
      </c>
    </row>
    <row r="32" spans="1:13" ht="15.75" customHeight="1">
      <c r="A32" s="4">
        <v>27</v>
      </c>
      <c r="B32" s="5" t="s">
        <v>58</v>
      </c>
      <c r="C32" s="11" t="s">
        <v>59</v>
      </c>
      <c r="D32" s="14">
        <v>10</v>
      </c>
      <c r="E32" s="14">
        <v>25</v>
      </c>
      <c r="F32" s="13">
        <f t="shared" si="0"/>
        <v>7</v>
      </c>
      <c r="G32" s="14">
        <v>0</v>
      </c>
      <c r="H32" s="14">
        <v>85</v>
      </c>
      <c r="I32" s="13">
        <f t="shared" si="1"/>
        <v>4.25</v>
      </c>
      <c r="J32" s="13">
        <v>10</v>
      </c>
      <c r="K32" s="14">
        <v>10</v>
      </c>
      <c r="L32" s="14">
        <v>10</v>
      </c>
      <c r="M32" s="24">
        <f t="shared" si="2"/>
        <v>31.25</v>
      </c>
    </row>
    <row r="33" spans="1:13" ht="15.75" customHeight="1">
      <c r="A33" s="4">
        <v>28</v>
      </c>
      <c r="B33" s="5" t="s">
        <v>60</v>
      </c>
      <c r="C33" s="11" t="s">
        <v>61</v>
      </c>
      <c r="D33" s="13">
        <v>12</v>
      </c>
      <c r="E33" s="13">
        <v>23</v>
      </c>
      <c r="F33" s="13">
        <f t="shared" si="0"/>
        <v>7</v>
      </c>
      <c r="G33" s="13">
        <v>80</v>
      </c>
      <c r="H33" s="13">
        <v>90</v>
      </c>
      <c r="I33" s="13">
        <f t="shared" si="1"/>
        <v>8.5</v>
      </c>
      <c r="J33" s="13">
        <v>10</v>
      </c>
      <c r="K33" s="13">
        <v>10</v>
      </c>
      <c r="L33" s="13">
        <v>10</v>
      </c>
      <c r="M33" s="24">
        <f t="shared" si="2"/>
        <v>35.5</v>
      </c>
    </row>
    <row r="34" spans="1:13" ht="15.75" customHeight="1">
      <c r="A34" s="4">
        <v>29</v>
      </c>
      <c r="B34" s="5" t="s">
        <v>62</v>
      </c>
      <c r="C34" s="11" t="s">
        <v>63</v>
      </c>
      <c r="D34" s="13">
        <v>50</v>
      </c>
      <c r="E34" s="13">
        <v>37</v>
      </c>
      <c r="F34" s="13">
        <f t="shared" si="0"/>
        <v>17.399999999999999</v>
      </c>
      <c r="G34" s="13">
        <v>100</v>
      </c>
      <c r="H34" s="13">
        <v>85</v>
      </c>
      <c r="I34" s="13">
        <f t="shared" si="1"/>
        <v>9.25</v>
      </c>
      <c r="J34" s="13">
        <v>10</v>
      </c>
      <c r="K34" s="13">
        <v>10</v>
      </c>
      <c r="L34" s="13">
        <v>10</v>
      </c>
      <c r="M34" s="24">
        <f t="shared" si="2"/>
        <v>46.65</v>
      </c>
    </row>
    <row r="35" spans="1:13" ht="15.75" customHeight="1">
      <c r="A35" s="4">
        <v>30</v>
      </c>
      <c r="B35" s="5" t="s">
        <v>64</v>
      </c>
      <c r="C35" s="11" t="s">
        <v>65</v>
      </c>
      <c r="D35" s="13">
        <v>19</v>
      </c>
      <c r="E35" s="13">
        <v>38</v>
      </c>
      <c r="F35" s="13">
        <f t="shared" si="0"/>
        <v>11.4</v>
      </c>
      <c r="G35" s="13">
        <v>89</v>
      </c>
      <c r="H35" s="13">
        <v>90</v>
      </c>
      <c r="I35" s="13">
        <f t="shared" si="1"/>
        <v>8.9499999999999993</v>
      </c>
      <c r="J35" s="13">
        <v>10</v>
      </c>
      <c r="K35" s="13">
        <v>10</v>
      </c>
      <c r="L35" s="13">
        <v>10</v>
      </c>
      <c r="M35" s="24">
        <f t="shared" si="2"/>
        <v>40.35</v>
      </c>
    </row>
    <row r="36" spans="1:13" ht="15.75" customHeight="1">
      <c r="A36" s="4">
        <v>31</v>
      </c>
      <c r="B36" s="5" t="s">
        <v>66</v>
      </c>
      <c r="C36" s="11" t="s">
        <v>67</v>
      </c>
      <c r="D36" s="13">
        <v>32</v>
      </c>
      <c r="E36" s="13">
        <v>48</v>
      </c>
      <c r="F36" s="13">
        <f t="shared" si="0"/>
        <v>16</v>
      </c>
      <c r="G36" s="13">
        <v>89</v>
      </c>
      <c r="H36" s="13">
        <v>92</v>
      </c>
      <c r="I36" s="13">
        <f t="shared" si="1"/>
        <v>9.0500000000000007</v>
      </c>
      <c r="J36" s="13">
        <v>10</v>
      </c>
      <c r="K36" s="13">
        <v>10</v>
      </c>
      <c r="L36" s="13">
        <v>10</v>
      </c>
      <c r="M36" s="24">
        <f t="shared" si="2"/>
        <v>45.05</v>
      </c>
    </row>
    <row r="37" spans="1:13" ht="15.75" customHeight="1">
      <c r="A37" s="4">
        <v>32</v>
      </c>
      <c r="B37" s="5" t="s">
        <v>68</v>
      </c>
      <c r="C37" s="11" t="s">
        <v>69</v>
      </c>
      <c r="D37" s="13">
        <v>8</v>
      </c>
      <c r="E37" s="13">
        <v>32</v>
      </c>
      <c r="F37" s="13">
        <f t="shared" si="0"/>
        <v>8</v>
      </c>
      <c r="G37" s="13">
        <v>89</v>
      </c>
      <c r="H37" s="13">
        <v>80</v>
      </c>
      <c r="I37" s="13">
        <f t="shared" si="1"/>
        <v>8.4499999999999993</v>
      </c>
      <c r="J37" s="13">
        <v>10</v>
      </c>
      <c r="K37" s="13">
        <v>10</v>
      </c>
      <c r="L37" s="13">
        <v>10</v>
      </c>
      <c r="M37" s="24">
        <f t="shared" si="2"/>
        <v>36.450000000000003</v>
      </c>
    </row>
    <row r="38" spans="1:13" ht="15.75" customHeight="1">
      <c r="A38" s="4">
        <v>33</v>
      </c>
      <c r="B38" s="5" t="s">
        <v>70</v>
      </c>
      <c r="C38" s="11" t="s">
        <v>71</v>
      </c>
      <c r="D38" s="13">
        <v>14</v>
      </c>
      <c r="E38" s="13">
        <v>17</v>
      </c>
      <c r="F38" s="13">
        <f t="shared" si="0"/>
        <v>6.2</v>
      </c>
      <c r="G38" s="13">
        <v>86</v>
      </c>
      <c r="H38" s="13">
        <v>85</v>
      </c>
      <c r="I38" s="13">
        <f t="shared" si="1"/>
        <v>8.5500000000000007</v>
      </c>
      <c r="J38" s="13">
        <v>10</v>
      </c>
      <c r="K38" s="13">
        <v>10</v>
      </c>
      <c r="L38" s="13">
        <v>10</v>
      </c>
      <c r="M38" s="24">
        <f t="shared" si="2"/>
        <v>34.75</v>
      </c>
    </row>
    <row r="39" spans="1:13" ht="15.75" customHeight="1">
      <c r="A39" s="4">
        <v>34</v>
      </c>
      <c r="B39" s="5" t="s">
        <v>72</v>
      </c>
      <c r="C39" s="11" t="s">
        <v>73</v>
      </c>
      <c r="D39" s="13">
        <v>4</v>
      </c>
      <c r="E39" s="13">
        <v>50</v>
      </c>
      <c r="F39" s="13">
        <f t="shared" si="0"/>
        <v>10.8</v>
      </c>
      <c r="G39" s="13">
        <v>80</v>
      </c>
      <c r="H39" s="13">
        <v>90</v>
      </c>
      <c r="I39" s="13">
        <f t="shared" si="1"/>
        <v>8.5</v>
      </c>
      <c r="J39" s="13">
        <v>10</v>
      </c>
      <c r="K39" s="13">
        <v>10</v>
      </c>
      <c r="L39" s="13">
        <v>10</v>
      </c>
      <c r="M39" s="24">
        <f t="shared" si="2"/>
        <v>39.299999999999997</v>
      </c>
    </row>
    <row r="40" spans="1:13" ht="15.75" customHeight="1">
      <c r="A40" s="4">
        <v>35</v>
      </c>
      <c r="B40" s="5" t="s">
        <v>74</v>
      </c>
      <c r="C40" s="11" t="s">
        <v>75</v>
      </c>
      <c r="D40" s="13">
        <v>50</v>
      </c>
      <c r="E40" s="13">
        <v>22</v>
      </c>
      <c r="F40" s="13">
        <f t="shared" si="0"/>
        <v>14.4</v>
      </c>
      <c r="G40" s="13">
        <v>100</v>
      </c>
      <c r="H40" s="13">
        <v>98</v>
      </c>
      <c r="I40" s="13">
        <f t="shared" si="1"/>
        <v>9.9</v>
      </c>
      <c r="J40" s="13">
        <v>10</v>
      </c>
      <c r="K40" s="13">
        <v>10</v>
      </c>
      <c r="L40" s="13">
        <v>10</v>
      </c>
      <c r="M40" s="24">
        <f t="shared" si="2"/>
        <v>44.3</v>
      </c>
    </row>
    <row r="41" spans="1:13" ht="15.75" customHeight="1">
      <c r="A41" s="4">
        <v>36</v>
      </c>
      <c r="B41" s="5" t="s">
        <v>76</v>
      </c>
      <c r="C41" s="11" t="s">
        <v>77</v>
      </c>
      <c r="D41" s="13">
        <v>22</v>
      </c>
      <c r="E41" s="13">
        <v>28</v>
      </c>
      <c r="F41" s="13">
        <f t="shared" si="0"/>
        <v>10</v>
      </c>
      <c r="G41" s="13">
        <v>92</v>
      </c>
      <c r="H41" s="13">
        <v>86</v>
      </c>
      <c r="I41" s="13">
        <f t="shared" si="1"/>
        <v>8.9</v>
      </c>
      <c r="J41" s="13">
        <v>10</v>
      </c>
      <c r="K41" s="13">
        <v>9</v>
      </c>
      <c r="L41" s="13">
        <v>10</v>
      </c>
      <c r="M41" s="24">
        <f t="shared" si="2"/>
        <v>37.9</v>
      </c>
    </row>
    <row r="42" spans="1:13" ht="15.75" customHeight="1">
      <c r="A42" s="4">
        <v>37</v>
      </c>
      <c r="B42" s="5" t="s">
        <v>78</v>
      </c>
      <c r="C42" s="11" t="s">
        <v>79</v>
      </c>
      <c r="D42" s="13">
        <v>43</v>
      </c>
      <c r="E42" s="13">
        <v>34</v>
      </c>
      <c r="F42" s="13">
        <f t="shared" si="0"/>
        <v>15.4</v>
      </c>
      <c r="G42" s="13">
        <v>95</v>
      </c>
      <c r="H42" s="13">
        <v>100</v>
      </c>
      <c r="I42" s="13">
        <f t="shared" si="1"/>
        <v>9.75</v>
      </c>
      <c r="J42" s="13">
        <v>10</v>
      </c>
      <c r="K42" s="13">
        <v>10</v>
      </c>
      <c r="L42" s="13">
        <v>10</v>
      </c>
      <c r="M42" s="24">
        <f t="shared" si="2"/>
        <v>45.15</v>
      </c>
    </row>
    <row r="43" spans="1:13" ht="15.75" customHeight="1">
      <c r="A43" s="4">
        <v>38</v>
      </c>
      <c r="B43" s="5" t="s">
        <v>80</v>
      </c>
      <c r="C43" s="11" t="s">
        <v>81</v>
      </c>
      <c r="D43" s="13">
        <v>43</v>
      </c>
      <c r="E43" s="13">
        <v>48</v>
      </c>
      <c r="F43" s="13">
        <f t="shared" si="0"/>
        <v>18.2</v>
      </c>
      <c r="G43" s="13">
        <v>95</v>
      </c>
      <c r="H43" s="13">
        <v>98</v>
      </c>
      <c r="I43" s="13">
        <f t="shared" si="1"/>
        <v>9.65</v>
      </c>
      <c r="J43" s="13">
        <v>10</v>
      </c>
      <c r="K43" s="13">
        <v>10</v>
      </c>
      <c r="L43" s="13">
        <v>10</v>
      </c>
      <c r="M43" s="24">
        <f t="shared" si="2"/>
        <v>47.85</v>
      </c>
    </row>
    <row r="44" spans="1:13" ht="15.75" customHeight="1">
      <c r="A44" s="4">
        <v>39</v>
      </c>
      <c r="B44" s="5" t="s">
        <v>82</v>
      </c>
      <c r="C44" s="11" t="s">
        <v>83</v>
      </c>
      <c r="D44" s="13">
        <v>22</v>
      </c>
      <c r="E44" s="13">
        <v>24</v>
      </c>
      <c r="F44" s="13">
        <f t="shared" si="0"/>
        <v>9.1999999999999993</v>
      </c>
      <c r="G44" s="13">
        <v>86</v>
      </c>
      <c r="H44" s="13">
        <v>95</v>
      </c>
      <c r="I44" s="13">
        <f t="shared" si="1"/>
        <v>9.0500000000000007</v>
      </c>
      <c r="J44" s="13">
        <v>10</v>
      </c>
      <c r="K44" s="13">
        <v>9</v>
      </c>
      <c r="L44" s="13">
        <v>10</v>
      </c>
      <c r="M44" s="24">
        <f t="shared" si="2"/>
        <v>37.25</v>
      </c>
    </row>
    <row r="45" spans="1:13" ht="15.75" customHeight="1">
      <c r="A45" s="4">
        <v>40</v>
      </c>
      <c r="B45" s="5" t="s">
        <v>84</v>
      </c>
      <c r="C45" s="11" t="s">
        <v>85</v>
      </c>
      <c r="D45" s="13">
        <v>39</v>
      </c>
      <c r="E45" s="13">
        <v>39</v>
      </c>
      <c r="F45" s="13">
        <f t="shared" si="0"/>
        <v>15.6</v>
      </c>
      <c r="G45" s="13">
        <v>86</v>
      </c>
      <c r="H45" s="13">
        <v>98</v>
      </c>
      <c r="I45" s="13">
        <f t="shared" si="1"/>
        <v>9.2000000000000011</v>
      </c>
      <c r="J45" s="13">
        <v>10</v>
      </c>
      <c r="K45" s="13">
        <v>10</v>
      </c>
      <c r="L45" s="13">
        <v>10</v>
      </c>
      <c r="M45" s="24">
        <f t="shared" si="2"/>
        <v>44.8</v>
      </c>
    </row>
    <row r="46" spans="1:13" ht="15.75" customHeight="1">
      <c r="A46" s="4">
        <v>41</v>
      </c>
      <c r="B46" s="5" t="s">
        <v>86</v>
      </c>
      <c r="C46" s="11" t="s">
        <v>87</v>
      </c>
      <c r="D46" s="13">
        <v>24</v>
      </c>
      <c r="E46" s="13">
        <v>39</v>
      </c>
      <c r="F46" s="13">
        <f t="shared" si="0"/>
        <v>12.6</v>
      </c>
      <c r="G46" s="13">
        <v>86</v>
      </c>
      <c r="H46" s="13">
        <v>95</v>
      </c>
      <c r="I46" s="13">
        <f t="shared" si="1"/>
        <v>9.0500000000000007</v>
      </c>
      <c r="J46" s="13">
        <v>10</v>
      </c>
      <c r="K46" s="13">
        <v>9</v>
      </c>
      <c r="L46" s="13">
        <v>10</v>
      </c>
      <c r="M46" s="24">
        <f t="shared" si="2"/>
        <v>40.65</v>
      </c>
    </row>
    <row r="47" spans="1:13" ht="15.75" customHeight="1">
      <c r="A47" s="4">
        <v>42</v>
      </c>
      <c r="B47" s="5" t="s">
        <v>88</v>
      </c>
      <c r="C47" s="11" t="s">
        <v>89</v>
      </c>
      <c r="D47" s="13">
        <v>48</v>
      </c>
      <c r="E47" s="13">
        <v>48</v>
      </c>
      <c r="F47" s="13">
        <f t="shared" si="0"/>
        <v>19.2</v>
      </c>
      <c r="G47" s="13">
        <v>89</v>
      </c>
      <c r="H47" s="13">
        <v>89</v>
      </c>
      <c r="I47" s="13">
        <f t="shared" si="1"/>
        <v>8.9</v>
      </c>
      <c r="J47" s="13">
        <v>10</v>
      </c>
      <c r="K47" s="13">
        <v>10</v>
      </c>
      <c r="L47" s="13">
        <v>10</v>
      </c>
      <c r="M47" s="24">
        <f t="shared" si="2"/>
        <v>48.1</v>
      </c>
    </row>
    <row r="48" spans="1:13" ht="15.75" customHeight="1">
      <c r="A48" s="4">
        <v>43</v>
      </c>
      <c r="B48" s="5" t="s">
        <v>90</v>
      </c>
      <c r="C48" s="11" t="s">
        <v>91</v>
      </c>
      <c r="D48" s="13">
        <v>35</v>
      </c>
      <c r="E48" s="13">
        <v>39</v>
      </c>
      <c r="F48" s="13">
        <f t="shared" si="0"/>
        <v>14.8</v>
      </c>
      <c r="G48" s="13">
        <v>95</v>
      </c>
      <c r="H48" s="13">
        <v>85</v>
      </c>
      <c r="I48" s="13">
        <f t="shared" si="1"/>
        <v>9</v>
      </c>
      <c r="J48" s="13">
        <v>10</v>
      </c>
      <c r="K48" s="13">
        <v>10</v>
      </c>
      <c r="L48" s="13">
        <v>10</v>
      </c>
      <c r="M48" s="24">
        <f t="shared" si="2"/>
        <v>43.8</v>
      </c>
    </row>
    <row r="49" spans="1:13" ht="15.75" customHeight="1">
      <c r="A49" s="4">
        <v>44</v>
      </c>
      <c r="B49" s="5" t="s">
        <v>92</v>
      </c>
      <c r="C49" s="11" t="s">
        <v>93</v>
      </c>
      <c r="D49" s="13">
        <v>35</v>
      </c>
      <c r="E49" s="13">
        <v>38</v>
      </c>
      <c r="F49" s="13">
        <f t="shared" si="0"/>
        <v>14.6</v>
      </c>
      <c r="G49" s="13">
        <v>89</v>
      </c>
      <c r="H49" s="13">
        <v>85</v>
      </c>
      <c r="I49" s="13">
        <f t="shared" si="1"/>
        <v>8.6999999999999993</v>
      </c>
      <c r="J49" s="13">
        <v>10</v>
      </c>
      <c r="K49" s="13">
        <v>9</v>
      </c>
      <c r="L49" s="13">
        <v>10</v>
      </c>
      <c r="M49" s="24">
        <f t="shared" si="2"/>
        <v>42.3</v>
      </c>
    </row>
    <row r="50" spans="1:13" ht="15.75" customHeight="1">
      <c r="A50" s="4">
        <v>45</v>
      </c>
      <c r="B50" s="5" t="s">
        <v>94</v>
      </c>
      <c r="C50" s="11" t="s">
        <v>95</v>
      </c>
      <c r="D50" s="13">
        <v>3</v>
      </c>
      <c r="E50" s="13">
        <v>14</v>
      </c>
      <c r="F50" s="13">
        <f t="shared" si="0"/>
        <v>3.4</v>
      </c>
      <c r="G50" s="13">
        <v>86</v>
      </c>
      <c r="H50" s="13">
        <v>28</v>
      </c>
      <c r="I50" s="13">
        <f t="shared" si="1"/>
        <v>5.6999999999999993</v>
      </c>
      <c r="J50" s="13">
        <v>10</v>
      </c>
      <c r="K50" s="13">
        <v>10</v>
      </c>
      <c r="L50" s="13">
        <v>10</v>
      </c>
      <c r="M50" s="24">
        <f t="shared" si="2"/>
        <v>29.1</v>
      </c>
    </row>
    <row r="51" spans="1:13" ht="15.75" customHeight="1">
      <c r="A51" s="4">
        <v>46</v>
      </c>
      <c r="B51" s="5" t="s">
        <v>96</v>
      </c>
      <c r="C51" s="11" t="s">
        <v>97</v>
      </c>
      <c r="D51" s="13">
        <v>8</v>
      </c>
      <c r="E51" s="13">
        <v>19</v>
      </c>
      <c r="F51" s="13">
        <f t="shared" si="0"/>
        <v>5.4</v>
      </c>
      <c r="G51" s="13">
        <v>83</v>
      </c>
      <c r="H51" s="13">
        <v>28</v>
      </c>
      <c r="I51" s="13">
        <f t="shared" si="1"/>
        <v>5.5500000000000007</v>
      </c>
      <c r="J51" s="13">
        <v>10</v>
      </c>
      <c r="K51" s="13">
        <v>10</v>
      </c>
      <c r="L51" s="13">
        <v>10</v>
      </c>
      <c r="M51" s="24">
        <f t="shared" si="2"/>
        <v>30.950000000000003</v>
      </c>
    </row>
    <row r="52" spans="1:13" ht="15.75" customHeight="1">
      <c r="A52" s="4">
        <v>47</v>
      </c>
      <c r="B52" s="5" t="s">
        <v>98</v>
      </c>
      <c r="C52" s="11" t="s">
        <v>99</v>
      </c>
      <c r="D52" s="13">
        <v>27</v>
      </c>
      <c r="E52" s="13">
        <v>30</v>
      </c>
      <c r="F52" s="13">
        <f t="shared" si="0"/>
        <v>11.4</v>
      </c>
      <c r="G52" s="13">
        <v>89</v>
      </c>
      <c r="H52" s="13">
        <v>89</v>
      </c>
      <c r="I52" s="13">
        <f t="shared" si="1"/>
        <v>8.9</v>
      </c>
      <c r="J52" s="13">
        <v>10</v>
      </c>
      <c r="K52" s="13">
        <v>10</v>
      </c>
      <c r="L52" s="13">
        <v>10</v>
      </c>
      <c r="M52" s="24">
        <f t="shared" si="2"/>
        <v>40.299999999999997</v>
      </c>
    </row>
    <row r="53" spans="1:13" ht="15.75" customHeight="1">
      <c r="A53" s="4">
        <v>48</v>
      </c>
      <c r="B53" s="5" t="s">
        <v>100</v>
      </c>
      <c r="C53" s="11" t="s">
        <v>101</v>
      </c>
      <c r="D53" s="13">
        <v>8</v>
      </c>
      <c r="E53" s="13">
        <v>0</v>
      </c>
      <c r="F53" s="13">
        <f t="shared" si="0"/>
        <v>1.6</v>
      </c>
      <c r="G53" s="13">
        <v>80</v>
      </c>
      <c r="H53" s="13">
        <v>0</v>
      </c>
      <c r="I53" s="13">
        <f t="shared" si="1"/>
        <v>4</v>
      </c>
      <c r="J53" s="13">
        <v>10</v>
      </c>
      <c r="K53" s="13">
        <v>10</v>
      </c>
      <c r="L53" s="13">
        <v>10</v>
      </c>
      <c r="M53" s="24">
        <f t="shared" si="2"/>
        <v>25.6</v>
      </c>
    </row>
    <row r="54" spans="1:13" ht="15.75" customHeight="1">
      <c r="A54" s="4">
        <v>49</v>
      </c>
      <c r="B54" s="5" t="s">
        <v>102</v>
      </c>
      <c r="C54" s="11" t="s">
        <v>103</v>
      </c>
      <c r="D54" s="13">
        <v>9</v>
      </c>
      <c r="E54" s="13">
        <v>35</v>
      </c>
      <c r="F54" s="13">
        <f t="shared" si="0"/>
        <v>8.8000000000000007</v>
      </c>
      <c r="G54" s="13">
        <v>83</v>
      </c>
      <c r="H54" s="13">
        <v>55</v>
      </c>
      <c r="I54" s="13">
        <f t="shared" si="1"/>
        <v>6.8999999999999995</v>
      </c>
      <c r="J54" s="13">
        <v>10</v>
      </c>
      <c r="K54" s="13">
        <v>8</v>
      </c>
      <c r="L54" s="13">
        <v>10</v>
      </c>
      <c r="M54" s="24">
        <f t="shared" si="2"/>
        <v>33.700000000000003</v>
      </c>
    </row>
    <row r="55" spans="1:13" ht="15.75" customHeight="1">
      <c r="A55" s="4">
        <v>50</v>
      </c>
      <c r="B55" s="5" t="s">
        <v>104</v>
      </c>
      <c r="C55" s="11" t="s">
        <v>105</v>
      </c>
      <c r="D55" s="13">
        <v>19</v>
      </c>
      <c r="E55" s="13">
        <v>24</v>
      </c>
      <c r="F55" s="13">
        <f t="shared" si="0"/>
        <v>8.6</v>
      </c>
      <c r="G55" s="13">
        <v>86</v>
      </c>
      <c r="H55" s="13">
        <v>60</v>
      </c>
      <c r="I55" s="13">
        <f t="shared" si="1"/>
        <v>7.3</v>
      </c>
      <c r="J55" s="13">
        <v>10</v>
      </c>
      <c r="K55" s="13">
        <v>10</v>
      </c>
      <c r="L55" s="13">
        <v>10</v>
      </c>
      <c r="M55" s="24">
        <f t="shared" si="2"/>
        <v>35.9</v>
      </c>
    </row>
    <row r="56" spans="1:13" ht="15.75" customHeight="1">
      <c r="A56" s="4">
        <v>51</v>
      </c>
      <c r="B56" s="5" t="s">
        <v>106</v>
      </c>
      <c r="C56" s="11" t="s">
        <v>107</v>
      </c>
      <c r="D56" s="13">
        <v>31</v>
      </c>
      <c r="E56" s="13">
        <v>48</v>
      </c>
      <c r="F56" s="13">
        <f t="shared" si="0"/>
        <v>15.8</v>
      </c>
      <c r="G56" s="13">
        <v>95</v>
      </c>
      <c r="H56" s="13">
        <v>92</v>
      </c>
      <c r="I56" s="13">
        <f t="shared" si="1"/>
        <v>9.3500000000000014</v>
      </c>
      <c r="J56" s="13">
        <v>10</v>
      </c>
      <c r="K56" s="13">
        <v>10</v>
      </c>
      <c r="L56" s="13">
        <v>10</v>
      </c>
      <c r="M56" s="24">
        <f t="shared" si="2"/>
        <v>45.150000000000006</v>
      </c>
    </row>
    <row r="57" spans="1:13" ht="15.75" customHeight="1">
      <c r="A57" s="4">
        <v>52</v>
      </c>
      <c r="B57" s="5" t="s">
        <v>108</v>
      </c>
      <c r="C57" s="11" t="s">
        <v>109</v>
      </c>
      <c r="D57" s="13">
        <v>24</v>
      </c>
      <c r="E57" s="13">
        <v>34</v>
      </c>
      <c r="F57" s="13">
        <f t="shared" si="0"/>
        <v>11.6</v>
      </c>
      <c r="G57" s="13">
        <v>92</v>
      </c>
      <c r="H57" s="13">
        <v>78</v>
      </c>
      <c r="I57" s="13">
        <f t="shared" si="1"/>
        <v>8.5</v>
      </c>
      <c r="J57" s="13">
        <v>10</v>
      </c>
      <c r="K57" s="13">
        <v>10</v>
      </c>
      <c r="L57" s="13">
        <v>10</v>
      </c>
      <c r="M57" s="24">
        <f t="shared" si="2"/>
        <v>40.1</v>
      </c>
    </row>
    <row r="58" spans="1:13" ht="15.75" customHeight="1">
      <c r="A58" s="4">
        <v>53</v>
      </c>
      <c r="B58" s="5" t="s">
        <v>110</v>
      </c>
      <c r="C58" s="11" t="s">
        <v>111</v>
      </c>
      <c r="D58" s="13">
        <v>44</v>
      </c>
      <c r="E58" s="13">
        <v>50</v>
      </c>
      <c r="F58" s="13">
        <f t="shared" si="0"/>
        <v>18.8</v>
      </c>
      <c r="G58" s="13">
        <v>83</v>
      </c>
      <c r="H58" s="13">
        <v>98</v>
      </c>
      <c r="I58" s="13">
        <f t="shared" si="1"/>
        <v>9.0500000000000007</v>
      </c>
      <c r="J58" s="13">
        <v>10</v>
      </c>
      <c r="K58" s="13">
        <v>10</v>
      </c>
      <c r="L58" s="13">
        <v>10</v>
      </c>
      <c r="M58" s="24">
        <f t="shared" si="2"/>
        <v>47.85</v>
      </c>
    </row>
    <row r="59" spans="1:13" ht="15.75" customHeight="1">
      <c r="A59" s="4">
        <v>54</v>
      </c>
      <c r="B59" s="5" t="s">
        <v>112</v>
      </c>
      <c r="C59" s="11" t="s">
        <v>113</v>
      </c>
      <c r="D59" s="13">
        <v>30</v>
      </c>
      <c r="E59" s="13">
        <v>40</v>
      </c>
      <c r="F59" s="13">
        <f t="shared" si="0"/>
        <v>14</v>
      </c>
      <c r="G59" s="13">
        <v>89</v>
      </c>
      <c r="H59" s="13">
        <v>60</v>
      </c>
      <c r="I59" s="13">
        <f t="shared" si="1"/>
        <v>7.45</v>
      </c>
      <c r="J59" s="13">
        <v>10</v>
      </c>
      <c r="K59" s="13">
        <v>10</v>
      </c>
      <c r="L59" s="13">
        <v>10</v>
      </c>
      <c r="M59" s="24">
        <f t="shared" si="2"/>
        <v>41.45</v>
      </c>
    </row>
    <row r="60" spans="1:13" ht="15.75" customHeight="1">
      <c r="A60" s="4">
        <v>55</v>
      </c>
      <c r="B60" s="5" t="s">
        <v>114</v>
      </c>
      <c r="C60" s="11" t="s">
        <v>115</v>
      </c>
      <c r="D60" s="13">
        <v>20</v>
      </c>
      <c r="E60" s="13">
        <v>35</v>
      </c>
      <c r="F60" s="13">
        <f t="shared" si="0"/>
        <v>11</v>
      </c>
      <c r="G60" s="13">
        <v>92</v>
      </c>
      <c r="H60" s="13">
        <v>60</v>
      </c>
      <c r="I60" s="13">
        <f t="shared" si="1"/>
        <v>7.6</v>
      </c>
      <c r="J60" s="13">
        <v>10</v>
      </c>
      <c r="K60" s="13">
        <v>9</v>
      </c>
      <c r="L60" s="13">
        <v>10</v>
      </c>
      <c r="M60" s="24">
        <f t="shared" si="2"/>
        <v>37.6</v>
      </c>
    </row>
    <row r="61" spans="1:13" ht="15.75" customHeight="1">
      <c r="A61" s="4">
        <v>56</v>
      </c>
      <c r="B61" s="5" t="s">
        <v>116</v>
      </c>
      <c r="C61" s="11" t="s">
        <v>117</v>
      </c>
      <c r="D61" s="13">
        <v>37</v>
      </c>
      <c r="E61" s="13">
        <v>49</v>
      </c>
      <c r="F61" s="13">
        <f t="shared" si="0"/>
        <v>17.2</v>
      </c>
      <c r="G61" s="13">
        <v>91</v>
      </c>
      <c r="H61" s="13">
        <v>61</v>
      </c>
      <c r="I61" s="13">
        <f t="shared" si="1"/>
        <v>7.6</v>
      </c>
      <c r="J61" s="13">
        <v>10</v>
      </c>
      <c r="K61" s="13">
        <v>10</v>
      </c>
      <c r="L61" s="13">
        <v>10</v>
      </c>
      <c r="M61" s="24">
        <f t="shared" si="2"/>
        <v>44.8</v>
      </c>
    </row>
    <row r="62" spans="1:13" ht="15.75" customHeight="1">
      <c r="A62" s="4">
        <v>57</v>
      </c>
      <c r="B62" s="5" t="s">
        <v>118</v>
      </c>
      <c r="C62" s="11" t="s">
        <v>119</v>
      </c>
      <c r="D62" s="13">
        <v>17</v>
      </c>
      <c r="E62" s="13">
        <v>43</v>
      </c>
      <c r="F62" s="13">
        <f t="shared" si="0"/>
        <v>12</v>
      </c>
      <c r="G62" s="13">
        <v>89</v>
      </c>
      <c r="H62" s="13">
        <v>78</v>
      </c>
      <c r="I62" s="13">
        <f t="shared" si="1"/>
        <v>8.35</v>
      </c>
      <c r="J62" s="13">
        <v>10</v>
      </c>
      <c r="K62" s="13">
        <v>10</v>
      </c>
      <c r="L62" s="13">
        <v>10</v>
      </c>
      <c r="M62" s="24">
        <f t="shared" si="2"/>
        <v>40.35</v>
      </c>
    </row>
    <row r="63" spans="1:13" ht="15.75" customHeight="1">
      <c r="A63" s="4">
        <v>58</v>
      </c>
      <c r="B63" s="5" t="s">
        <v>120</v>
      </c>
      <c r="C63" s="11" t="s">
        <v>121</v>
      </c>
      <c r="D63" s="13">
        <v>32</v>
      </c>
      <c r="E63" s="13">
        <v>47</v>
      </c>
      <c r="F63" s="13">
        <f t="shared" si="0"/>
        <v>15.8</v>
      </c>
      <c r="G63" s="13">
        <v>86</v>
      </c>
      <c r="H63" s="13">
        <v>89</v>
      </c>
      <c r="I63" s="13">
        <f t="shared" si="1"/>
        <v>8.75</v>
      </c>
      <c r="J63" s="13">
        <v>10</v>
      </c>
      <c r="K63" s="13">
        <v>10</v>
      </c>
      <c r="L63" s="13">
        <v>10</v>
      </c>
      <c r="M63" s="24">
        <f t="shared" si="2"/>
        <v>44.55</v>
      </c>
    </row>
    <row r="64" spans="1:1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">
    <mergeCell ref="A3:C3"/>
    <mergeCell ref="A1:G1"/>
    <mergeCell ref="A2:G2"/>
    <mergeCell ref="D4:E4"/>
    <mergeCell ref="G4:H4"/>
  </mergeCells>
  <pageMargins left="0.7" right="0.7" top="0.75" bottom="0.75" header="0" footer="0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0"/>
  <sheetViews>
    <sheetView workbookViewId="0">
      <pane ySplit="1" topLeftCell="A2" activePane="bottomLeft" state="frozen"/>
      <selection pane="bottomLeft" activeCell="E7" sqref="E7"/>
    </sheetView>
  </sheetViews>
  <sheetFormatPr defaultColWidth="14.42578125" defaultRowHeight="15" customHeight="1"/>
  <cols>
    <col min="1" max="1" width="9.28515625" customWidth="1"/>
    <col min="2" max="2" width="14.140625" customWidth="1"/>
    <col min="3" max="3" width="41.7109375" customWidth="1"/>
    <col min="4" max="4" width="6.7109375" customWidth="1"/>
    <col min="5" max="5" width="6" customWidth="1"/>
    <col min="6" max="6" width="11.7109375" customWidth="1"/>
    <col min="7" max="9" width="8.7109375" customWidth="1"/>
    <col min="10" max="10" width="10.85546875" bestFit="1" customWidth="1"/>
    <col min="11" max="11" width="8.7109375" customWidth="1"/>
    <col min="12" max="12" width="12" bestFit="1" customWidth="1"/>
    <col min="13" max="13" width="12" style="22" bestFit="1" customWidth="1"/>
    <col min="14" max="14" width="8.7109375" customWidth="1"/>
  </cols>
  <sheetData>
    <row r="1" spans="1:13" ht="15.75">
      <c r="A1" s="30" t="s">
        <v>0</v>
      </c>
      <c r="B1" s="29"/>
      <c r="C1" s="29"/>
      <c r="D1" s="29"/>
      <c r="E1" s="29"/>
    </row>
    <row r="2" spans="1:13" ht="15.75">
      <c r="A2" s="30" t="s">
        <v>123</v>
      </c>
      <c r="B2" s="29"/>
      <c r="C2" s="29"/>
      <c r="D2" s="29"/>
      <c r="E2" s="29"/>
      <c r="F2" s="29"/>
      <c r="G2" s="29"/>
    </row>
    <row r="3" spans="1:13" ht="15.75">
      <c r="A3" s="30" t="s">
        <v>124</v>
      </c>
      <c r="B3" s="29"/>
      <c r="C3" s="29"/>
      <c r="D3" s="29"/>
      <c r="E3" s="29"/>
    </row>
    <row r="4" spans="1:13" ht="15.75">
      <c r="A4" s="1"/>
      <c r="B4" s="1"/>
      <c r="C4" s="1"/>
      <c r="D4" s="31" t="s">
        <v>231</v>
      </c>
      <c r="E4" s="31"/>
      <c r="F4" s="16" t="s">
        <v>236</v>
      </c>
      <c r="G4" s="31" t="s">
        <v>232</v>
      </c>
      <c r="H4" s="31"/>
      <c r="I4" s="16" t="s">
        <v>237</v>
      </c>
      <c r="J4" s="16" t="s">
        <v>235</v>
      </c>
      <c r="K4" s="12" t="s">
        <v>233</v>
      </c>
      <c r="L4" s="12" t="s">
        <v>234</v>
      </c>
      <c r="M4" s="23" t="s">
        <v>238</v>
      </c>
    </row>
    <row r="5" spans="1:13" ht="15.75">
      <c r="A5" s="20" t="s">
        <v>2</v>
      </c>
      <c r="B5" s="6" t="s">
        <v>3</v>
      </c>
      <c r="C5" s="17" t="s">
        <v>4</v>
      </c>
      <c r="D5" s="12" t="s">
        <v>229</v>
      </c>
      <c r="E5" s="12" t="s">
        <v>230</v>
      </c>
      <c r="F5" s="12"/>
      <c r="G5" s="12" t="s">
        <v>229</v>
      </c>
      <c r="H5" s="12" t="s">
        <v>230</v>
      </c>
      <c r="I5" s="12"/>
      <c r="J5" s="12"/>
      <c r="K5" s="13"/>
      <c r="L5" s="13"/>
      <c r="M5" s="24">
        <f t="shared" ref="M5:M19" si="0">F5+I5+J5+K5</f>
        <v>0</v>
      </c>
    </row>
    <row r="6" spans="1:13" ht="15.75">
      <c r="A6" s="7">
        <v>1</v>
      </c>
      <c r="B6" s="9" t="s">
        <v>125</v>
      </c>
      <c r="C6" s="18" t="s">
        <v>9</v>
      </c>
      <c r="D6" s="13"/>
      <c r="E6" s="13"/>
      <c r="F6" s="13">
        <f t="shared" ref="F6:F8" si="1">(2*D6+2*E6)/10</f>
        <v>0</v>
      </c>
      <c r="G6" s="13"/>
      <c r="H6" s="13"/>
      <c r="I6" s="13">
        <f t="shared" ref="I6:I19" si="2">(G6+H6)/200*10</f>
        <v>0</v>
      </c>
      <c r="J6" s="13"/>
      <c r="K6" s="13"/>
      <c r="L6" s="13"/>
      <c r="M6" s="24">
        <f t="shared" si="0"/>
        <v>0</v>
      </c>
    </row>
    <row r="7" spans="1:13" ht="15.75">
      <c r="A7" s="7">
        <v>2</v>
      </c>
      <c r="B7" s="9" t="s">
        <v>126</v>
      </c>
      <c r="C7" s="18" t="s">
        <v>127</v>
      </c>
      <c r="D7" s="13">
        <v>23</v>
      </c>
      <c r="E7" s="13">
        <v>37</v>
      </c>
      <c r="F7" s="13">
        <f t="shared" si="1"/>
        <v>12</v>
      </c>
      <c r="G7" s="13">
        <v>81</v>
      </c>
      <c r="H7" s="13">
        <v>88</v>
      </c>
      <c r="I7" s="13">
        <f t="shared" si="2"/>
        <v>8.4499999999999993</v>
      </c>
      <c r="J7" s="13">
        <v>10</v>
      </c>
      <c r="K7" s="13">
        <v>10</v>
      </c>
      <c r="L7" s="13">
        <v>10</v>
      </c>
      <c r="M7" s="24">
        <f t="shared" si="0"/>
        <v>40.450000000000003</v>
      </c>
    </row>
    <row r="8" spans="1:13" ht="15.75">
      <c r="A8" s="7">
        <v>3</v>
      </c>
      <c r="B8" s="9" t="s">
        <v>128</v>
      </c>
      <c r="C8" s="18" t="s">
        <v>129</v>
      </c>
      <c r="D8" s="13">
        <v>30</v>
      </c>
      <c r="E8" s="13">
        <v>43</v>
      </c>
      <c r="F8" s="13">
        <f t="shared" si="1"/>
        <v>14.6</v>
      </c>
      <c r="G8" s="13">
        <v>83</v>
      </c>
      <c r="H8" s="13">
        <v>85</v>
      </c>
      <c r="I8" s="13">
        <f t="shared" si="2"/>
        <v>8.4</v>
      </c>
      <c r="J8" s="13">
        <v>10</v>
      </c>
      <c r="K8" s="13">
        <v>10</v>
      </c>
      <c r="L8" s="13">
        <v>10</v>
      </c>
      <c r="M8" s="24">
        <f t="shared" si="0"/>
        <v>43</v>
      </c>
    </row>
    <row r="9" spans="1:13" ht="15.75">
      <c r="A9" s="7">
        <v>4</v>
      </c>
      <c r="B9" s="9" t="s">
        <v>130</v>
      </c>
      <c r="C9" s="18" t="s">
        <v>131</v>
      </c>
      <c r="D9" s="21">
        <v>45</v>
      </c>
      <c r="E9" s="21">
        <v>45</v>
      </c>
      <c r="F9" s="13">
        <f>(2*D9+2*E9)/10</f>
        <v>18</v>
      </c>
      <c r="G9" s="13">
        <v>90</v>
      </c>
      <c r="H9" s="13">
        <v>92</v>
      </c>
      <c r="I9" s="13">
        <f t="shared" si="2"/>
        <v>9.1</v>
      </c>
      <c r="J9" s="13">
        <v>10</v>
      </c>
      <c r="K9" s="13">
        <v>10</v>
      </c>
      <c r="L9" s="13">
        <v>10</v>
      </c>
      <c r="M9" s="24">
        <f t="shared" si="0"/>
        <v>47.1</v>
      </c>
    </row>
    <row r="10" spans="1:13" ht="15.75">
      <c r="A10" s="7">
        <v>5</v>
      </c>
      <c r="B10" s="9" t="s">
        <v>132</v>
      </c>
      <c r="C10" s="18" t="s">
        <v>133</v>
      </c>
      <c r="D10" s="13">
        <v>34</v>
      </c>
      <c r="E10" s="13">
        <v>35</v>
      </c>
      <c r="F10" s="13">
        <f>(2*D10+2*E10)/10</f>
        <v>13.8</v>
      </c>
      <c r="G10" s="13">
        <v>95</v>
      </c>
      <c r="H10" s="13">
        <v>85</v>
      </c>
      <c r="I10" s="13">
        <f t="shared" si="2"/>
        <v>9</v>
      </c>
      <c r="J10" s="13">
        <v>10</v>
      </c>
      <c r="K10" s="13">
        <v>10</v>
      </c>
      <c r="L10" s="13">
        <v>10</v>
      </c>
      <c r="M10" s="24">
        <f t="shared" si="0"/>
        <v>42.8</v>
      </c>
    </row>
    <row r="11" spans="1:13" ht="15.75">
      <c r="A11" s="7">
        <v>6</v>
      </c>
      <c r="B11" s="9" t="s">
        <v>134</v>
      </c>
      <c r="C11" s="18" t="s">
        <v>135</v>
      </c>
      <c r="D11" s="13">
        <v>23</v>
      </c>
      <c r="E11" s="13">
        <v>23</v>
      </c>
      <c r="F11" s="13">
        <f t="shared" ref="F11:F61" si="3">(2*D11+2*E11)/10</f>
        <v>9.1999999999999993</v>
      </c>
      <c r="G11" s="13">
        <v>85</v>
      </c>
      <c r="H11" s="13">
        <v>88</v>
      </c>
      <c r="I11" s="13">
        <f t="shared" si="2"/>
        <v>8.65</v>
      </c>
      <c r="J11" s="13">
        <v>10</v>
      </c>
      <c r="K11" s="13">
        <v>10</v>
      </c>
      <c r="L11" s="13">
        <v>10</v>
      </c>
      <c r="M11" s="24">
        <f t="shared" si="0"/>
        <v>37.85</v>
      </c>
    </row>
    <row r="12" spans="1:13" ht="15.75">
      <c r="A12" s="7">
        <v>7</v>
      </c>
      <c r="B12" s="9" t="s">
        <v>136</v>
      </c>
      <c r="C12" s="18" t="s">
        <v>137</v>
      </c>
      <c r="D12" s="13">
        <v>5</v>
      </c>
      <c r="E12" s="13">
        <v>45</v>
      </c>
      <c r="F12" s="13">
        <f t="shared" si="3"/>
        <v>10</v>
      </c>
      <c r="G12" s="13">
        <v>80</v>
      </c>
      <c r="H12" s="13">
        <v>75</v>
      </c>
      <c r="I12" s="13">
        <f t="shared" si="2"/>
        <v>7.75</v>
      </c>
      <c r="J12" s="13">
        <v>10</v>
      </c>
      <c r="K12" s="13">
        <v>10</v>
      </c>
      <c r="L12" s="13">
        <v>10</v>
      </c>
      <c r="M12" s="24">
        <f t="shared" si="0"/>
        <v>37.75</v>
      </c>
    </row>
    <row r="13" spans="1:13" ht="15.75">
      <c r="A13" s="7">
        <v>8</v>
      </c>
      <c r="B13" s="9" t="s">
        <v>138</v>
      </c>
      <c r="C13" s="18" t="s">
        <v>139</v>
      </c>
      <c r="D13" s="13">
        <v>29</v>
      </c>
      <c r="E13" s="13">
        <v>33</v>
      </c>
      <c r="F13" s="13">
        <f t="shared" si="3"/>
        <v>12.4</v>
      </c>
      <c r="G13" s="13">
        <v>86</v>
      </c>
      <c r="H13" s="13">
        <v>88</v>
      </c>
      <c r="I13" s="13">
        <f t="shared" si="2"/>
        <v>8.6999999999999993</v>
      </c>
      <c r="J13" s="13">
        <v>10</v>
      </c>
      <c r="K13" s="13">
        <v>10</v>
      </c>
      <c r="L13" s="13">
        <v>10</v>
      </c>
      <c r="M13" s="24">
        <f t="shared" si="0"/>
        <v>41.1</v>
      </c>
    </row>
    <row r="14" spans="1:13" ht="15.75">
      <c r="A14" s="7">
        <v>9</v>
      </c>
      <c r="B14" s="9" t="s">
        <v>140</v>
      </c>
      <c r="C14" s="18" t="s">
        <v>141</v>
      </c>
      <c r="D14" s="13">
        <v>27</v>
      </c>
      <c r="E14" s="13">
        <v>42</v>
      </c>
      <c r="F14" s="13">
        <f t="shared" si="3"/>
        <v>13.8</v>
      </c>
      <c r="G14" s="13">
        <v>86</v>
      </c>
      <c r="H14" s="13">
        <v>73</v>
      </c>
      <c r="I14" s="13">
        <f t="shared" si="2"/>
        <v>7.95</v>
      </c>
      <c r="J14" s="13">
        <v>10</v>
      </c>
      <c r="K14" s="13">
        <v>10</v>
      </c>
      <c r="L14" s="13">
        <v>10</v>
      </c>
      <c r="M14" s="24">
        <f t="shared" si="0"/>
        <v>41.75</v>
      </c>
    </row>
    <row r="15" spans="1:13" ht="15.75">
      <c r="A15" s="7">
        <v>10</v>
      </c>
      <c r="B15" s="9" t="s">
        <v>142</v>
      </c>
      <c r="C15" s="18" t="s">
        <v>143</v>
      </c>
      <c r="D15" s="13">
        <v>45</v>
      </c>
      <c r="E15" s="13">
        <v>49</v>
      </c>
      <c r="F15" s="13">
        <f t="shared" si="3"/>
        <v>18.8</v>
      </c>
      <c r="G15" s="13">
        <v>94</v>
      </c>
      <c r="H15" s="13">
        <v>90</v>
      </c>
      <c r="I15" s="13">
        <f t="shared" si="2"/>
        <v>9.2000000000000011</v>
      </c>
      <c r="J15" s="13">
        <v>10</v>
      </c>
      <c r="K15" s="13">
        <v>10</v>
      </c>
      <c r="L15" s="13">
        <v>10</v>
      </c>
      <c r="M15" s="24">
        <f t="shared" si="0"/>
        <v>48</v>
      </c>
    </row>
    <row r="16" spans="1:13" ht="15.75">
      <c r="A16" s="7">
        <v>11</v>
      </c>
      <c r="B16" s="9" t="s">
        <v>144</v>
      </c>
      <c r="C16" s="18" t="s">
        <v>145</v>
      </c>
      <c r="D16" s="13">
        <v>50</v>
      </c>
      <c r="E16" s="13">
        <v>50</v>
      </c>
      <c r="F16" s="13">
        <f t="shared" si="3"/>
        <v>20</v>
      </c>
      <c r="G16" s="13">
        <v>97</v>
      </c>
      <c r="H16" s="13">
        <v>90</v>
      </c>
      <c r="I16" s="13">
        <f t="shared" si="2"/>
        <v>9.3500000000000014</v>
      </c>
      <c r="J16" s="13">
        <v>10</v>
      </c>
      <c r="K16" s="13">
        <v>10</v>
      </c>
      <c r="L16" s="13">
        <v>10</v>
      </c>
      <c r="M16" s="24">
        <f t="shared" si="0"/>
        <v>49.35</v>
      </c>
    </row>
    <row r="17" spans="1:13" ht="15.75">
      <c r="A17" s="7">
        <v>12</v>
      </c>
      <c r="B17" s="9" t="s">
        <v>146</v>
      </c>
      <c r="C17" s="18" t="s">
        <v>147</v>
      </c>
      <c r="D17" s="13">
        <v>16</v>
      </c>
      <c r="E17" s="13">
        <v>46</v>
      </c>
      <c r="F17" s="13">
        <f t="shared" si="3"/>
        <v>12.4</v>
      </c>
      <c r="G17" s="13">
        <v>80</v>
      </c>
      <c r="H17" s="13">
        <v>85</v>
      </c>
      <c r="I17" s="13">
        <f t="shared" si="2"/>
        <v>8.25</v>
      </c>
      <c r="J17" s="13">
        <v>10</v>
      </c>
      <c r="K17" s="13">
        <v>10</v>
      </c>
      <c r="L17" s="13">
        <v>10</v>
      </c>
      <c r="M17" s="24">
        <f t="shared" si="0"/>
        <v>40.65</v>
      </c>
    </row>
    <row r="18" spans="1:13" ht="15.75">
      <c r="A18" s="7">
        <v>13</v>
      </c>
      <c r="B18" s="9" t="s">
        <v>148</v>
      </c>
      <c r="C18" s="18" t="s">
        <v>149</v>
      </c>
      <c r="D18" s="13">
        <v>35</v>
      </c>
      <c r="E18" s="13">
        <v>48</v>
      </c>
      <c r="F18" s="13">
        <f t="shared" si="3"/>
        <v>16.600000000000001</v>
      </c>
      <c r="G18" s="13">
        <v>92</v>
      </c>
      <c r="H18" s="13">
        <v>90</v>
      </c>
      <c r="I18" s="13">
        <f t="shared" si="2"/>
        <v>9.1</v>
      </c>
      <c r="J18" s="13">
        <v>10</v>
      </c>
      <c r="K18" s="13">
        <v>10</v>
      </c>
      <c r="L18" s="13">
        <v>10</v>
      </c>
      <c r="M18" s="24">
        <f t="shared" si="0"/>
        <v>45.7</v>
      </c>
    </row>
    <row r="19" spans="1:13" ht="15.75">
      <c r="A19" s="7">
        <v>14</v>
      </c>
      <c r="B19" s="9" t="s">
        <v>150</v>
      </c>
      <c r="C19" s="18" t="s">
        <v>151</v>
      </c>
      <c r="D19" s="25">
        <v>38</v>
      </c>
      <c r="E19" s="25">
        <v>48</v>
      </c>
      <c r="F19" s="25">
        <f t="shared" si="3"/>
        <v>17.2</v>
      </c>
      <c r="G19" s="25">
        <v>89</v>
      </c>
      <c r="H19" s="25">
        <v>85</v>
      </c>
      <c r="I19" s="25">
        <f t="shared" si="2"/>
        <v>8.6999999999999993</v>
      </c>
      <c r="J19" s="25">
        <v>10</v>
      </c>
      <c r="K19" s="25">
        <v>10</v>
      </c>
      <c r="L19" s="25">
        <v>10</v>
      </c>
      <c r="M19" s="26">
        <f t="shared" si="0"/>
        <v>45.9</v>
      </c>
    </row>
    <row r="20" spans="1:13" ht="15.75">
      <c r="A20" s="7">
        <v>15</v>
      </c>
      <c r="B20" s="9" t="s">
        <v>152</v>
      </c>
      <c r="C20" s="18" t="s">
        <v>153</v>
      </c>
      <c r="D20" s="13">
        <v>24</v>
      </c>
      <c r="E20" s="13">
        <v>11</v>
      </c>
      <c r="F20" s="13">
        <f t="shared" si="3"/>
        <v>7</v>
      </c>
      <c r="G20" s="13">
        <v>80</v>
      </c>
      <c r="H20" s="13">
        <v>80</v>
      </c>
      <c r="I20" s="13">
        <f>(G20+H20)/200*10</f>
        <v>8</v>
      </c>
      <c r="J20" s="13">
        <v>10</v>
      </c>
      <c r="K20" s="13">
        <v>10</v>
      </c>
      <c r="L20" s="13">
        <v>10</v>
      </c>
      <c r="M20" s="24">
        <f>F20+I20+J20+K20</f>
        <v>35</v>
      </c>
    </row>
    <row r="21" spans="1:13" ht="15.75" customHeight="1">
      <c r="A21" s="7">
        <v>16</v>
      </c>
      <c r="B21" s="9" t="s">
        <v>154</v>
      </c>
      <c r="C21" s="18" t="s">
        <v>155</v>
      </c>
      <c r="D21" s="13">
        <v>9</v>
      </c>
      <c r="E21" s="13">
        <v>31</v>
      </c>
      <c r="F21" s="13">
        <f t="shared" si="3"/>
        <v>8</v>
      </c>
      <c r="G21" s="13">
        <v>86</v>
      </c>
      <c r="H21" s="13">
        <v>88</v>
      </c>
      <c r="I21" s="13">
        <f>(G21+H21)/200*10</f>
        <v>8.6999999999999993</v>
      </c>
      <c r="J21" s="13">
        <v>10</v>
      </c>
      <c r="K21" s="13">
        <v>10</v>
      </c>
      <c r="L21" s="13">
        <v>10</v>
      </c>
      <c r="M21" s="24">
        <f t="shared" ref="M21:M61" si="4">F21+I21+J21+K21</f>
        <v>36.700000000000003</v>
      </c>
    </row>
    <row r="22" spans="1:13" ht="15.75" customHeight="1">
      <c r="A22" s="7">
        <v>17</v>
      </c>
      <c r="B22" s="9" t="s">
        <v>156</v>
      </c>
      <c r="C22" s="18" t="s">
        <v>157</v>
      </c>
      <c r="D22" s="13">
        <v>6</v>
      </c>
      <c r="E22" s="13">
        <v>20</v>
      </c>
      <c r="F22" s="13">
        <f t="shared" si="3"/>
        <v>5.2</v>
      </c>
      <c r="G22" s="13">
        <v>0</v>
      </c>
      <c r="H22" s="13">
        <v>70</v>
      </c>
      <c r="I22" s="13">
        <f t="shared" ref="I22:I61" si="5">(G22+H22)/200*10</f>
        <v>3.5</v>
      </c>
      <c r="J22" s="13">
        <v>10</v>
      </c>
      <c r="K22" s="13">
        <v>10</v>
      </c>
      <c r="L22" s="13">
        <v>10</v>
      </c>
      <c r="M22" s="24">
        <f t="shared" si="4"/>
        <v>28.7</v>
      </c>
    </row>
    <row r="23" spans="1:13" ht="15.75" customHeight="1">
      <c r="A23" s="7">
        <v>18</v>
      </c>
      <c r="B23" s="9" t="s">
        <v>158</v>
      </c>
      <c r="C23" s="18" t="s">
        <v>159</v>
      </c>
      <c r="D23" s="13">
        <v>34</v>
      </c>
      <c r="E23" s="13">
        <v>45</v>
      </c>
      <c r="F23" s="13">
        <f t="shared" si="3"/>
        <v>15.8</v>
      </c>
      <c r="G23" s="13">
        <v>90</v>
      </c>
      <c r="H23" s="13">
        <v>65</v>
      </c>
      <c r="I23" s="13">
        <f t="shared" si="5"/>
        <v>7.75</v>
      </c>
      <c r="J23" s="13">
        <v>10</v>
      </c>
      <c r="K23" s="13">
        <v>10</v>
      </c>
      <c r="L23" s="13">
        <v>10</v>
      </c>
      <c r="M23" s="24">
        <f t="shared" si="4"/>
        <v>43.55</v>
      </c>
    </row>
    <row r="24" spans="1:13" ht="15.75" customHeight="1">
      <c r="A24" s="7">
        <v>19</v>
      </c>
      <c r="B24" s="9" t="s">
        <v>160</v>
      </c>
      <c r="C24" s="18" t="s">
        <v>161</v>
      </c>
      <c r="D24" s="13">
        <v>40</v>
      </c>
      <c r="E24" s="13">
        <v>50</v>
      </c>
      <c r="F24" s="13">
        <f t="shared" si="3"/>
        <v>18</v>
      </c>
      <c r="G24" s="13">
        <v>92</v>
      </c>
      <c r="H24" s="13">
        <v>100</v>
      </c>
      <c r="I24" s="13">
        <f t="shared" si="5"/>
        <v>9.6</v>
      </c>
      <c r="J24" s="13">
        <v>10</v>
      </c>
      <c r="K24" s="13">
        <v>10</v>
      </c>
      <c r="L24" s="13">
        <v>10</v>
      </c>
      <c r="M24" s="24">
        <f t="shared" si="4"/>
        <v>47.6</v>
      </c>
    </row>
    <row r="25" spans="1:13" ht="15.75" customHeight="1">
      <c r="A25" s="7">
        <v>20</v>
      </c>
      <c r="B25" s="9" t="s">
        <v>162</v>
      </c>
      <c r="C25" s="18" t="s">
        <v>163</v>
      </c>
      <c r="D25" s="13">
        <v>22</v>
      </c>
      <c r="E25" s="13">
        <v>40</v>
      </c>
      <c r="F25" s="13">
        <f t="shared" si="3"/>
        <v>12.4</v>
      </c>
      <c r="G25" s="13">
        <v>95</v>
      </c>
      <c r="H25" s="13">
        <v>70</v>
      </c>
      <c r="I25" s="13">
        <f t="shared" si="5"/>
        <v>8.25</v>
      </c>
      <c r="J25" s="13">
        <v>10</v>
      </c>
      <c r="K25" s="13">
        <v>10</v>
      </c>
      <c r="L25" s="13">
        <v>10</v>
      </c>
      <c r="M25" s="24">
        <f t="shared" si="4"/>
        <v>40.65</v>
      </c>
    </row>
    <row r="26" spans="1:13" ht="15.75" customHeight="1">
      <c r="A26" s="7">
        <v>21</v>
      </c>
      <c r="B26" s="9" t="s">
        <v>164</v>
      </c>
      <c r="C26" s="18" t="s">
        <v>165</v>
      </c>
      <c r="D26" s="13">
        <v>50</v>
      </c>
      <c r="E26" s="13">
        <v>25</v>
      </c>
      <c r="F26" s="13">
        <f t="shared" si="3"/>
        <v>15</v>
      </c>
      <c r="G26" s="13">
        <v>95</v>
      </c>
      <c r="H26" s="13">
        <v>96</v>
      </c>
      <c r="I26" s="13">
        <f t="shared" si="5"/>
        <v>9.5499999999999989</v>
      </c>
      <c r="J26" s="13">
        <v>10</v>
      </c>
      <c r="K26" s="13">
        <v>10</v>
      </c>
      <c r="L26" s="13">
        <v>10</v>
      </c>
      <c r="M26" s="24">
        <f t="shared" si="4"/>
        <v>44.55</v>
      </c>
    </row>
    <row r="27" spans="1:13" ht="15.75" customHeight="1">
      <c r="A27" s="7">
        <v>22</v>
      </c>
      <c r="B27" s="9" t="s">
        <v>166</v>
      </c>
      <c r="C27" s="18" t="s">
        <v>91</v>
      </c>
      <c r="D27" s="13">
        <v>19</v>
      </c>
      <c r="E27" s="13">
        <v>34</v>
      </c>
      <c r="F27" s="13">
        <f t="shared" si="3"/>
        <v>10.6</v>
      </c>
      <c r="G27" s="13">
        <v>80</v>
      </c>
      <c r="H27" s="13">
        <v>90</v>
      </c>
      <c r="I27" s="13">
        <f t="shared" si="5"/>
        <v>8.5</v>
      </c>
      <c r="J27" s="13">
        <v>10</v>
      </c>
      <c r="K27" s="13">
        <v>10</v>
      </c>
      <c r="L27" s="13">
        <v>10</v>
      </c>
      <c r="M27" s="24">
        <f t="shared" si="4"/>
        <v>39.1</v>
      </c>
    </row>
    <row r="28" spans="1:13" ht="15.75" customHeight="1">
      <c r="A28" s="7">
        <v>23</v>
      </c>
      <c r="B28" s="9" t="s">
        <v>167</v>
      </c>
      <c r="C28" s="18" t="s">
        <v>168</v>
      </c>
      <c r="D28" s="13">
        <v>18</v>
      </c>
      <c r="E28" s="13">
        <v>42</v>
      </c>
      <c r="F28" s="13">
        <f t="shared" si="3"/>
        <v>12</v>
      </c>
      <c r="G28" s="13">
        <v>80</v>
      </c>
      <c r="H28" s="13">
        <v>92</v>
      </c>
      <c r="I28" s="13">
        <f t="shared" si="5"/>
        <v>8.6</v>
      </c>
      <c r="J28" s="13">
        <v>10</v>
      </c>
      <c r="K28" s="13">
        <v>10</v>
      </c>
      <c r="L28" s="13">
        <v>10</v>
      </c>
      <c r="M28" s="24">
        <f t="shared" si="4"/>
        <v>40.6</v>
      </c>
    </row>
    <row r="29" spans="1:13" ht="15.75" customHeight="1">
      <c r="A29" s="7">
        <v>24</v>
      </c>
      <c r="B29" s="9" t="s">
        <v>169</v>
      </c>
      <c r="C29" s="18" t="s">
        <v>170</v>
      </c>
      <c r="D29" s="25">
        <v>48</v>
      </c>
      <c r="E29" s="25">
        <v>29</v>
      </c>
      <c r="F29" s="25">
        <f t="shared" si="3"/>
        <v>15.4</v>
      </c>
      <c r="G29" s="25">
        <v>80</v>
      </c>
      <c r="H29" s="25">
        <v>40</v>
      </c>
      <c r="I29" s="25">
        <f t="shared" si="5"/>
        <v>6</v>
      </c>
      <c r="J29" s="25">
        <v>10</v>
      </c>
      <c r="K29" s="25">
        <v>10</v>
      </c>
      <c r="L29" s="25">
        <v>10</v>
      </c>
      <c r="M29" s="26">
        <f t="shared" si="4"/>
        <v>41.4</v>
      </c>
    </row>
    <row r="30" spans="1:13" ht="15.75" customHeight="1">
      <c r="A30" s="7">
        <v>25</v>
      </c>
      <c r="B30" s="9" t="s">
        <v>171</v>
      </c>
      <c r="C30" s="18" t="s">
        <v>172</v>
      </c>
      <c r="D30" s="13">
        <v>26</v>
      </c>
      <c r="E30" s="13">
        <v>33</v>
      </c>
      <c r="F30" s="13">
        <f t="shared" si="3"/>
        <v>11.8</v>
      </c>
      <c r="G30" s="13">
        <v>80</v>
      </c>
      <c r="H30" s="13">
        <v>70</v>
      </c>
      <c r="I30" s="13">
        <f t="shared" si="5"/>
        <v>7.5</v>
      </c>
      <c r="J30" s="13">
        <v>10</v>
      </c>
      <c r="K30" s="13">
        <v>10</v>
      </c>
      <c r="L30" s="13">
        <v>10</v>
      </c>
      <c r="M30" s="24">
        <f t="shared" si="4"/>
        <v>39.299999999999997</v>
      </c>
    </row>
    <row r="31" spans="1:13" ht="15.75" customHeight="1">
      <c r="A31" s="7">
        <v>26</v>
      </c>
      <c r="B31" s="9" t="s">
        <v>173</v>
      </c>
      <c r="C31" s="18" t="s">
        <v>174</v>
      </c>
      <c r="D31" s="13">
        <v>29</v>
      </c>
      <c r="E31" s="13">
        <v>25</v>
      </c>
      <c r="F31" s="13">
        <f t="shared" si="3"/>
        <v>10.8</v>
      </c>
      <c r="G31" s="13">
        <v>80</v>
      </c>
      <c r="H31" s="13">
        <v>55</v>
      </c>
      <c r="I31" s="13">
        <f t="shared" si="5"/>
        <v>6.75</v>
      </c>
      <c r="J31" s="13">
        <v>10</v>
      </c>
      <c r="K31" s="13">
        <v>10</v>
      </c>
      <c r="L31" s="13">
        <v>10</v>
      </c>
      <c r="M31" s="24">
        <f t="shared" si="4"/>
        <v>37.549999999999997</v>
      </c>
    </row>
    <row r="32" spans="1:13" ht="15.75" customHeight="1">
      <c r="A32" s="7">
        <v>27</v>
      </c>
      <c r="B32" s="9" t="s">
        <v>175</v>
      </c>
      <c r="C32" s="18" t="s">
        <v>176</v>
      </c>
      <c r="D32" s="13">
        <v>23</v>
      </c>
      <c r="E32" s="13">
        <v>43</v>
      </c>
      <c r="F32" s="13">
        <f t="shared" si="3"/>
        <v>13.2</v>
      </c>
      <c r="G32" s="13">
        <v>80</v>
      </c>
      <c r="H32" s="13">
        <v>88</v>
      </c>
      <c r="I32" s="13">
        <f t="shared" si="5"/>
        <v>8.4</v>
      </c>
      <c r="J32" s="13">
        <v>10</v>
      </c>
      <c r="K32" s="13">
        <v>10</v>
      </c>
      <c r="L32" s="13">
        <v>10</v>
      </c>
      <c r="M32" s="24">
        <f t="shared" si="4"/>
        <v>41.6</v>
      </c>
    </row>
    <row r="33" spans="1:13" ht="15.75" customHeight="1">
      <c r="A33" s="7">
        <v>28</v>
      </c>
      <c r="B33" s="9" t="s">
        <v>177</v>
      </c>
      <c r="C33" s="18" t="s">
        <v>178</v>
      </c>
      <c r="D33" s="13">
        <v>50</v>
      </c>
      <c r="E33" s="13">
        <v>28</v>
      </c>
      <c r="F33" s="13">
        <f t="shared" si="3"/>
        <v>15.6</v>
      </c>
      <c r="G33" s="13">
        <v>80</v>
      </c>
      <c r="H33" s="13">
        <v>95</v>
      </c>
      <c r="I33" s="13">
        <f t="shared" si="5"/>
        <v>8.75</v>
      </c>
      <c r="J33" s="13">
        <v>10</v>
      </c>
      <c r="K33" s="13">
        <v>10</v>
      </c>
      <c r="L33" s="13">
        <v>10</v>
      </c>
      <c r="M33" s="24">
        <f t="shared" si="4"/>
        <v>44.35</v>
      </c>
    </row>
    <row r="34" spans="1:13" ht="15.75" customHeight="1">
      <c r="A34" s="7">
        <v>29</v>
      </c>
      <c r="B34" s="9" t="s">
        <v>179</v>
      </c>
      <c r="C34" s="18" t="s">
        <v>180</v>
      </c>
      <c r="D34" s="13">
        <v>38</v>
      </c>
      <c r="E34" s="13">
        <v>47</v>
      </c>
      <c r="F34" s="13">
        <f t="shared" si="3"/>
        <v>17</v>
      </c>
      <c r="G34" s="13">
        <v>90</v>
      </c>
      <c r="H34" s="13">
        <v>70</v>
      </c>
      <c r="I34" s="13">
        <f t="shared" si="5"/>
        <v>8</v>
      </c>
      <c r="J34" s="13">
        <v>10</v>
      </c>
      <c r="K34" s="13">
        <v>10</v>
      </c>
      <c r="L34" s="13">
        <v>10</v>
      </c>
      <c r="M34" s="24">
        <f t="shared" si="4"/>
        <v>45</v>
      </c>
    </row>
    <row r="35" spans="1:13" ht="15.75" customHeight="1">
      <c r="A35" s="7">
        <v>30</v>
      </c>
      <c r="B35" s="9" t="s">
        <v>181</v>
      </c>
      <c r="C35" s="18" t="s">
        <v>182</v>
      </c>
      <c r="D35" s="13">
        <v>25</v>
      </c>
      <c r="E35" s="13">
        <v>41</v>
      </c>
      <c r="F35" s="13">
        <f t="shared" si="3"/>
        <v>13.2</v>
      </c>
      <c r="G35" s="13">
        <v>80</v>
      </c>
      <c r="H35" s="13">
        <v>78</v>
      </c>
      <c r="I35" s="13">
        <f t="shared" si="5"/>
        <v>7.9</v>
      </c>
      <c r="J35" s="13">
        <v>10</v>
      </c>
      <c r="K35" s="13">
        <v>10</v>
      </c>
      <c r="L35" s="13">
        <v>10</v>
      </c>
      <c r="M35" s="24">
        <f t="shared" si="4"/>
        <v>41.1</v>
      </c>
    </row>
    <row r="36" spans="1:13" ht="15.75" customHeight="1">
      <c r="A36" s="7">
        <v>31</v>
      </c>
      <c r="B36" s="9" t="s">
        <v>183</v>
      </c>
      <c r="C36" s="18" t="s">
        <v>184</v>
      </c>
      <c r="D36" s="13">
        <v>8</v>
      </c>
      <c r="E36" s="13">
        <v>20</v>
      </c>
      <c r="F36" s="13">
        <f t="shared" si="3"/>
        <v>5.6</v>
      </c>
      <c r="G36" s="13">
        <v>80</v>
      </c>
      <c r="H36" s="13">
        <v>68</v>
      </c>
      <c r="I36" s="13">
        <f t="shared" si="5"/>
        <v>7.4</v>
      </c>
      <c r="J36" s="13">
        <v>10</v>
      </c>
      <c r="K36" s="13">
        <v>10</v>
      </c>
      <c r="L36" s="13">
        <v>10</v>
      </c>
      <c r="M36" s="24">
        <f t="shared" si="4"/>
        <v>33</v>
      </c>
    </row>
    <row r="37" spans="1:13" ht="15.75" customHeight="1">
      <c r="A37" s="7">
        <v>32</v>
      </c>
      <c r="B37" s="9" t="s">
        <v>185</v>
      </c>
      <c r="C37" s="18" t="s">
        <v>186</v>
      </c>
      <c r="D37" s="13">
        <v>35</v>
      </c>
      <c r="E37" s="13">
        <v>47</v>
      </c>
      <c r="F37" s="13">
        <f t="shared" si="3"/>
        <v>16.399999999999999</v>
      </c>
      <c r="G37" s="13">
        <v>90</v>
      </c>
      <c r="H37" s="13">
        <v>95</v>
      </c>
      <c r="I37" s="13">
        <f t="shared" si="5"/>
        <v>9.25</v>
      </c>
      <c r="J37" s="13">
        <v>10</v>
      </c>
      <c r="K37" s="13">
        <v>10</v>
      </c>
      <c r="L37" s="13">
        <v>10</v>
      </c>
      <c r="M37" s="24">
        <f t="shared" si="4"/>
        <v>45.65</v>
      </c>
    </row>
    <row r="38" spans="1:13" ht="15.75" customHeight="1">
      <c r="A38" s="7">
        <v>33</v>
      </c>
      <c r="B38" s="9" t="s">
        <v>187</v>
      </c>
      <c r="C38" s="18" t="s">
        <v>188</v>
      </c>
      <c r="D38" s="13">
        <v>34</v>
      </c>
      <c r="E38" s="13">
        <v>49</v>
      </c>
      <c r="F38" s="13">
        <f t="shared" si="3"/>
        <v>16.600000000000001</v>
      </c>
      <c r="G38" s="13">
        <v>80</v>
      </c>
      <c r="H38" s="13">
        <v>90</v>
      </c>
      <c r="I38" s="13">
        <f t="shared" si="5"/>
        <v>8.5</v>
      </c>
      <c r="J38" s="13">
        <v>10</v>
      </c>
      <c r="K38" s="13">
        <v>10</v>
      </c>
      <c r="L38" s="13">
        <v>10</v>
      </c>
      <c r="M38" s="24">
        <f t="shared" si="4"/>
        <v>45.1</v>
      </c>
    </row>
    <row r="39" spans="1:13" ht="15.75" customHeight="1">
      <c r="A39" s="7">
        <v>34</v>
      </c>
      <c r="B39" s="9" t="s">
        <v>189</v>
      </c>
      <c r="C39" s="18" t="s">
        <v>190</v>
      </c>
      <c r="D39" s="13">
        <v>14</v>
      </c>
      <c r="E39" s="13">
        <v>20</v>
      </c>
      <c r="F39" s="13">
        <f t="shared" si="3"/>
        <v>6.8</v>
      </c>
      <c r="G39" s="13">
        <v>80</v>
      </c>
      <c r="H39" s="13">
        <v>60</v>
      </c>
      <c r="I39" s="13">
        <f t="shared" si="5"/>
        <v>7</v>
      </c>
      <c r="J39" s="13">
        <v>10</v>
      </c>
      <c r="K39" s="13">
        <v>10</v>
      </c>
      <c r="L39" s="13">
        <v>10</v>
      </c>
      <c r="M39" s="24">
        <f t="shared" si="4"/>
        <v>33.799999999999997</v>
      </c>
    </row>
    <row r="40" spans="1:13" ht="15.75" customHeight="1">
      <c r="A40" s="7">
        <v>35</v>
      </c>
      <c r="B40" s="9" t="s">
        <v>191</v>
      </c>
      <c r="C40" s="18" t="s">
        <v>192</v>
      </c>
      <c r="D40" s="25">
        <v>46</v>
      </c>
      <c r="E40" s="25">
        <v>26</v>
      </c>
      <c r="F40" s="25">
        <f t="shared" si="3"/>
        <v>14.4</v>
      </c>
      <c r="G40" s="25">
        <v>80</v>
      </c>
      <c r="H40" s="25">
        <v>55</v>
      </c>
      <c r="I40" s="25">
        <f t="shared" si="5"/>
        <v>6.75</v>
      </c>
      <c r="J40" s="25">
        <v>10</v>
      </c>
      <c r="K40" s="25">
        <v>10</v>
      </c>
      <c r="L40" s="25">
        <v>10</v>
      </c>
      <c r="M40" s="26">
        <f t="shared" si="4"/>
        <v>41.15</v>
      </c>
    </row>
    <row r="41" spans="1:13" ht="15.75" customHeight="1">
      <c r="A41" s="7">
        <v>36</v>
      </c>
      <c r="B41" s="9" t="s">
        <v>193</v>
      </c>
      <c r="C41" s="18" t="s">
        <v>194</v>
      </c>
      <c r="D41" s="13">
        <v>9</v>
      </c>
      <c r="E41" s="13">
        <v>0</v>
      </c>
      <c r="F41" s="13">
        <f t="shared" si="3"/>
        <v>1.8</v>
      </c>
      <c r="G41" s="13"/>
      <c r="H41" s="13"/>
      <c r="I41" s="13">
        <f t="shared" si="5"/>
        <v>0</v>
      </c>
      <c r="J41" s="13"/>
      <c r="K41" s="13"/>
      <c r="L41" s="13">
        <v>10</v>
      </c>
      <c r="M41" s="24">
        <v>20</v>
      </c>
    </row>
    <row r="42" spans="1:13" ht="15.75" customHeight="1">
      <c r="A42" s="7">
        <v>37</v>
      </c>
      <c r="B42" s="9" t="s">
        <v>195</v>
      </c>
      <c r="C42" s="18" t="s">
        <v>196</v>
      </c>
      <c r="D42" s="13">
        <v>30</v>
      </c>
      <c r="E42" s="13">
        <v>47</v>
      </c>
      <c r="F42" s="13">
        <f t="shared" si="3"/>
        <v>15.4</v>
      </c>
      <c r="G42" s="13">
        <v>80</v>
      </c>
      <c r="H42" s="13">
        <v>75</v>
      </c>
      <c r="I42" s="13">
        <f t="shared" si="5"/>
        <v>7.75</v>
      </c>
      <c r="J42" s="13">
        <v>10</v>
      </c>
      <c r="K42" s="13">
        <v>10</v>
      </c>
      <c r="L42" s="13">
        <v>10</v>
      </c>
      <c r="M42" s="24">
        <f t="shared" si="4"/>
        <v>43.15</v>
      </c>
    </row>
    <row r="43" spans="1:13" ht="15.75" customHeight="1">
      <c r="A43" s="7">
        <v>38</v>
      </c>
      <c r="B43" s="9" t="s">
        <v>197</v>
      </c>
      <c r="C43" s="18" t="s">
        <v>198</v>
      </c>
      <c r="D43" s="13">
        <v>10</v>
      </c>
      <c r="E43" s="13">
        <v>26</v>
      </c>
      <c r="F43" s="13">
        <f t="shared" si="3"/>
        <v>7.2</v>
      </c>
      <c r="G43" s="13">
        <v>83</v>
      </c>
      <c r="H43" s="13">
        <v>80</v>
      </c>
      <c r="I43" s="13">
        <f t="shared" si="5"/>
        <v>8.1499999999999986</v>
      </c>
      <c r="J43" s="13">
        <v>10</v>
      </c>
      <c r="K43" s="13">
        <v>10</v>
      </c>
      <c r="L43" s="13">
        <v>10</v>
      </c>
      <c r="M43" s="24">
        <f t="shared" si="4"/>
        <v>35.349999999999994</v>
      </c>
    </row>
    <row r="44" spans="1:13" ht="15.75" customHeight="1">
      <c r="A44" s="7">
        <v>39</v>
      </c>
      <c r="B44" s="9" t="s">
        <v>199</v>
      </c>
      <c r="C44" s="18" t="s">
        <v>200</v>
      </c>
      <c r="D44" s="13">
        <v>50</v>
      </c>
      <c r="E44" s="13">
        <v>50</v>
      </c>
      <c r="F44" s="13">
        <f t="shared" si="3"/>
        <v>20</v>
      </c>
      <c r="G44" s="13">
        <v>86</v>
      </c>
      <c r="H44" s="13">
        <v>95</v>
      </c>
      <c r="I44" s="13">
        <f t="shared" si="5"/>
        <v>9.0500000000000007</v>
      </c>
      <c r="J44" s="13">
        <v>10</v>
      </c>
      <c r="K44" s="13">
        <v>10</v>
      </c>
      <c r="L44" s="13">
        <v>10</v>
      </c>
      <c r="M44" s="24">
        <f t="shared" si="4"/>
        <v>49.05</v>
      </c>
    </row>
    <row r="45" spans="1:13" ht="15.75" customHeight="1">
      <c r="A45" s="7">
        <v>40</v>
      </c>
      <c r="B45" s="9" t="s">
        <v>201</v>
      </c>
      <c r="C45" s="18" t="s">
        <v>202</v>
      </c>
      <c r="D45" s="13">
        <v>22</v>
      </c>
      <c r="E45" s="13">
        <v>16</v>
      </c>
      <c r="F45" s="13">
        <f t="shared" si="3"/>
        <v>7.6</v>
      </c>
      <c r="G45" s="13">
        <v>90</v>
      </c>
      <c r="H45" s="13">
        <v>90</v>
      </c>
      <c r="I45" s="13">
        <f t="shared" si="5"/>
        <v>9</v>
      </c>
      <c r="J45" s="13">
        <v>10</v>
      </c>
      <c r="K45" s="13">
        <v>10</v>
      </c>
      <c r="L45" s="13">
        <v>10</v>
      </c>
      <c r="M45" s="24">
        <f t="shared" si="4"/>
        <v>36.6</v>
      </c>
    </row>
    <row r="46" spans="1:13" ht="15.75" customHeight="1">
      <c r="A46" s="7">
        <v>41</v>
      </c>
      <c r="B46" s="9" t="s">
        <v>203</v>
      </c>
      <c r="C46" s="18" t="s">
        <v>204</v>
      </c>
      <c r="D46" s="13">
        <v>13</v>
      </c>
      <c r="E46" s="13">
        <v>25</v>
      </c>
      <c r="F46" s="13">
        <f t="shared" si="3"/>
        <v>7.6</v>
      </c>
      <c r="G46" s="13">
        <v>80</v>
      </c>
      <c r="H46" s="13">
        <v>90</v>
      </c>
      <c r="I46" s="13">
        <f t="shared" si="5"/>
        <v>8.5</v>
      </c>
      <c r="J46" s="13">
        <v>10</v>
      </c>
      <c r="K46" s="13">
        <v>10</v>
      </c>
      <c r="L46" s="13">
        <v>10</v>
      </c>
      <c r="M46" s="24">
        <f t="shared" si="4"/>
        <v>36.1</v>
      </c>
    </row>
    <row r="47" spans="1:13" ht="15.75" customHeight="1">
      <c r="A47" s="7">
        <v>42</v>
      </c>
      <c r="B47" s="9" t="s">
        <v>205</v>
      </c>
      <c r="C47" s="18" t="s">
        <v>206</v>
      </c>
      <c r="D47" s="13">
        <v>11</v>
      </c>
      <c r="E47" s="13">
        <v>21</v>
      </c>
      <c r="F47" s="13">
        <f t="shared" si="3"/>
        <v>6.4</v>
      </c>
      <c r="G47" s="13">
        <v>80</v>
      </c>
      <c r="H47" s="13">
        <v>65</v>
      </c>
      <c r="I47" s="13">
        <f t="shared" si="5"/>
        <v>7.25</v>
      </c>
      <c r="J47" s="13">
        <v>10</v>
      </c>
      <c r="K47" s="13">
        <v>10</v>
      </c>
      <c r="L47" s="13">
        <v>10</v>
      </c>
      <c r="M47" s="24">
        <f t="shared" si="4"/>
        <v>33.65</v>
      </c>
    </row>
    <row r="48" spans="1:13" ht="15.75" customHeight="1">
      <c r="A48" s="7">
        <v>43</v>
      </c>
      <c r="B48" s="9" t="s">
        <v>207</v>
      </c>
      <c r="C48" s="18" t="s">
        <v>208</v>
      </c>
      <c r="D48" s="25">
        <v>31</v>
      </c>
      <c r="E48" s="25">
        <v>46</v>
      </c>
      <c r="F48" s="25">
        <f t="shared" si="3"/>
        <v>15.4</v>
      </c>
      <c r="G48" s="25">
        <v>83</v>
      </c>
      <c r="H48" s="25">
        <v>100</v>
      </c>
      <c r="I48" s="25">
        <f t="shared" si="5"/>
        <v>9.15</v>
      </c>
      <c r="J48" s="25">
        <v>10</v>
      </c>
      <c r="K48" s="25">
        <v>10</v>
      </c>
      <c r="L48" s="25">
        <v>10</v>
      </c>
      <c r="M48" s="26">
        <f t="shared" si="4"/>
        <v>44.55</v>
      </c>
    </row>
    <row r="49" spans="1:13" ht="15.75" customHeight="1">
      <c r="A49" s="7">
        <v>44</v>
      </c>
      <c r="B49" s="9" t="s">
        <v>209</v>
      </c>
      <c r="C49" s="18" t="s">
        <v>210</v>
      </c>
      <c r="D49" s="13">
        <v>42</v>
      </c>
      <c r="E49" s="13">
        <v>50</v>
      </c>
      <c r="F49" s="13">
        <f t="shared" si="3"/>
        <v>18.399999999999999</v>
      </c>
      <c r="G49" s="13">
        <v>83</v>
      </c>
      <c r="H49" s="13">
        <v>95</v>
      </c>
      <c r="I49" s="13">
        <f t="shared" si="5"/>
        <v>8.9</v>
      </c>
      <c r="J49" s="13">
        <v>10</v>
      </c>
      <c r="K49" s="13">
        <v>10</v>
      </c>
      <c r="L49" s="13">
        <v>10</v>
      </c>
      <c r="M49" s="24">
        <f t="shared" si="4"/>
        <v>47.3</v>
      </c>
    </row>
    <row r="50" spans="1:13" ht="15.75" customHeight="1">
      <c r="A50" s="7">
        <v>45</v>
      </c>
      <c r="B50" s="9" t="s">
        <v>211</v>
      </c>
      <c r="C50" s="18" t="s">
        <v>212</v>
      </c>
      <c r="D50" s="13">
        <v>43</v>
      </c>
      <c r="E50" s="13">
        <v>49</v>
      </c>
      <c r="F50" s="13">
        <f t="shared" si="3"/>
        <v>18.399999999999999</v>
      </c>
      <c r="G50" s="13">
        <v>90</v>
      </c>
      <c r="H50" s="13">
        <v>100</v>
      </c>
      <c r="I50" s="13">
        <f t="shared" si="5"/>
        <v>9.5</v>
      </c>
      <c r="J50" s="13">
        <v>10</v>
      </c>
      <c r="K50" s="13">
        <v>10</v>
      </c>
      <c r="L50" s="13">
        <v>10</v>
      </c>
      <c r="M50" s="24">
        <f t="shared" si="4"/>
        <v>47.9</v>
      </c>
    </row>
    <row r="51" spans="1:13" ht="15.75" customHeight="1">
      <c r="A51" s="7">
        <v>46</v>
      </c>
      <c r="B51" s="9" t="s">
        <v>213</v>
      </c>
      <c r="C51" s="18" t="s">
        <v>214</v>
      </c>
      <c r="D51" s="13">
        <v>46</v>
      </c>
      <c r="E51" s="13">
        <v>49</v>
      </c>
      <c r="F51" s="13">
        <f t="shared" si="3"/>
        <v>19</v>
      </c>
      <c r="G51" s="13">
        <v>86</v>
      </c>
      <c r="H51" s="13">
        <v>95</v>
      </c>
      <c r="I51" s="13">
        <f t="shared" si="5"/>
        <v>9.0500000000000007</v>
      </c>
      <c r="J51" s="13">
        <v>10</v>
      </c>
      <c r="K51" s="13">
        <v>10</v>
      </c>
      <c r="L51" s="13">
        <v>10</v>
      </c>
      <c r="M51" s="24">
        <f t="shared" si="4"/>
        <v>48.05</v>
      </c>
    </row>
    <row r="52" spans="1:13" ht="15.75" customHeight="1">
      <c r="A52" s="7">
        <v>47</v>
      </c>
      <c r="B52" s="9" t="s">
        <v>215</v>
      </c>
      <c r="C52" s="18" t="s">
        <v>216</v>
      </c>
      <c r="D52" s="13">
        <v>32</v>
      </c>
      <c r="E52" s="13">
        <v>41</v>
      </c>
      <c r="F52" s="13">
        <f t="shared" si="3"/>
        <v>14.6</v>
      </c>
      <c r="G52" s="13">
        <v>83</v>
      </c>
      <c r="H52" s="13">
        <v>75</v>
      </c>
      <c r="I52" s="13">
        <f t="shared" si="5"/>
        <v>7.9</v>
      </c>
      <c r="J52" s="13">
        <v>10</v>
      </c>
      <c r="K52" s="13">
        <v>10</v>
      </c>
      <c r="L52" s="13">
        <v>10</v>
      </c>
      <c r="M52" s="24">
        <f t="shared" si="4"/>
        <v>42.5</v>
      </c>
    </row>
    <row r="53" spans="1:13" ht="15.75" customHeight="1">
      <c r="A53" s="7">
        <v>48</v>
      </c>
      <c r="B53" s="9" t="s">
        <v>217</v>
      </c>
      <c r="C53" s="18" t="s">
        <v>218</v>
      </c>
      <c r="D53" s="13">
        <v>21</v>
      </c>
      <c r="E53" s="13">
        <v>28</v>
      </c>
      <c r="F53" s="13">
        <f t="shared" si="3"/>
        <v>9.8000000000000007</v>
      </c>
      <c r="G53" s="13">
        <v>80</v>
      </c>
      <c r="H53" s="13">
        <v>92</v>
      </c>
      <c r="I53" s="13">
        <f t="shared" si="5"/>
        <v>8.6</v>
      </c>
      <c r="J53" s="13">
        <v>10</v>
      </c>
      <c r="K53" s="13">
        <v>10</v>
      </c>
      <c r="L53" s="13">
        <v>10</v>
      </c>
      <c r="M53" s="24">
        <f t="shared" si="4"/>
        <v>38.4</v>
      </c>
    </row>
    <row r="54" spans="1:13" ht="15.75" customHeight="1">
      <c r="A54" s="7">
        <v>49</v>
      </c>
      <c r="B54" s="8" t="s">
        <v>122</v>
      </c>
      <c r="C54" s="27" t="s">
        <v>219</v>
      </c>
      <c r="D54" s="25">
        <v>11</v>
      </c>
      <c r="E54" s="25">
        <v>34</v>
      </c>
      <c r="F54" s="25">
        <f t="shared" si="3"/>
        <v>9</v>
      </c>
      <c r="G54" s="25">
        <v>80</v>
      </c>
      <c r="H54" s="25">
        <v>45</v>
      </c>
      <c r="I54" s="25">
        <f t="shared" si="5"/>
        <v>6.25</v>
      </c>
      <c r="J54" s="25">
        <v>10</v>
      </c>
      <c r="K54" s="25">
        <v>10</v>
      </c>
      <c r="L54" s="25">
        <v>10</v>
      </c>
      <c r="M54" s="26">
        <f t="shared" si="4"/>
        <v>35.25</v>
      </c>
    </row>
    <row r="55" spans="1:13" ht="15.75" customHeight="1">
      <c r="A55" s="7">
        <v>50</v>
      </c>
      <c r="B55" s="8" t="s">
        <v>122</v>
      </c>
      <c r="C55" s="19" t="s">
        <v>220</v>
      </c>
      <c r="D55" s="25">
        <v>26</v>
      </c>
      <c r="E55" s="25">
        <v>42</v>
      </c>
      <c r="F55" s="25">
        <f t="shared" si="3"/>
        <v>13.6</v>
      </c>
      <c r="G55" s="25">
        <v>82</v>
      </c>
      <c r="H55" s="25">
        <v>100</v>
      </c>
      <c r="I55" s="25">
        <f t="shared" si="5"/>
        <v>9.1</v>
      </c>
      <c r="J55" s="25">
        <v>10</v>
      </c>
      <c r="K55" s="25">
        <v>10</v>
      </c>
      <c r="L55" s="25">
        <v>10</v>
      </c>
      <c r="M55" s="26">
        <f t="shared" si="4"/>
        <v>42.7</v>
      </c>
    </row>
    <row r="56" spans="1:13" ht="15.75" customHeight="1">
      <c r="A56" s="7">
        <v>51</v>
      </c>
      <c r="B56" s="8" t="s">
        <v>122</v>
      </c>
      <c r="C56" s="19" t="s">
        <v>221</v>
      </c>
      <c r="D56" s="13">
        <v>6</v>
      </c>
      <c r="E56" s="13">
        <v>9</v>
      </c>
      <c r="F56" s="13">
        <f t="shared" si="3"/>
        <v>3</v>
      </c>
      <c r="G56" s="13">
        <v>80</v>
      </c>
      <c r="H56" s="13">
        <v>70</v>
      </c>
      <c r="I56" s="13">
        <f t="shared" si="5"/>
        <v>7.5</v>
      </c>
      <c r="J56" s="13">
        <v>10</v>
      </c>
      <c r="K56" s="13">
        <v>10</v>
      </c>
      <c r="L56" s="13">
        <v>10</v>
      </c>
      <c r="M56" s="24">
        <f t="shared" si="4"/>
        <v>30.5</v>
      </c>
    </row>
    <row r="57" spans="1:13" ht="15.75" customHeight="1">
      <c r="A57" s="7">
        <v>52</v>
      </c>
      <c r="B57" s="8" t="s">
        <v>122</v>
      </c>
      <c r="C57" s="19" t="s">
        <v>222</v>
      </c>
      <c r="D57" s="13">
        <v>44</v>
      </c>
      <c r="E57" s="13">
        <v>45</v>
      </c>
      <c r="F57" s="13">
        <f t="shared" si="3"/>
        <v>17.8</v>
      </c>
      <c r="G57" s="13">
        <v>85</v>
      </c>
      <c r="H57" s="13">
        <v>80</v>
      </c>
      <c r="I57" s="13">
        <f t="shared" si="5"/>
        <v>8.25</v>
      </c>
      <c r="J57" s="13">
        <v>10</v>
      </c>
      <c r="K57" s="13">
        <v>10</v>
      </c>
      <c r="L57" s="13">
        <v>10</v>
      </c>
      <c r="M57" s="24">
        <f t="shared" si="4"/>
        <v>46.05</v>
      </c>
    </row>
    <row r="58" spans="1:13" ht="15.75" customHeight="1">
      <c r="A58" s="7">
        <v>53</v>
      </c>
      <c r="B58" s="8" t="s">
        <v>223</v>
      </c>
      <c r="C58" s="19" t="s">
        <v>239</v>
      </c>
      <c r="D58" s="13">
        <v>35</v>
      </c>
      <c r="E58" s="13">
        <v>43</v>
      </c>
      <c r="F58" s="13">
        <f t="shared" si="3"/>
        <v>15.6</v>
      </c>
      <c r="G58" s="13">
        <v>82</v>
      </c>
      <c r="H58" s="13">
        <v>80</v>
      </c>
      <c r="I58" s="13">
        <f t="shared" si="5"/>
        <v>8.1000000000000014</v>
      </c>
      <c r="J58" s="13">
        <v>10</v>
      </c>
      <c r="K58" s="13">
        <v>10</v>
      </c>
      <c r="L58" s="13">
        <v>10</v>
      </c>
      <c r="M58" s="24">
        <f t="shared" si="4"/>
        <v>43.7</v>
      </c>
    </row>
    <row r="59" spans="1:13" ht="15.75" customHeight="1">
      <c r="A59" s="7">
        <v>54</v>
      </c>
      <c r="B59" s="8" t="s">
        <v>224</v>
      </c>
      <c r="C59" s="19" t="s">
        <v>240</v>
      </c>
      <c r="D59" s="13">
        <v>50</v>
      </c>
      <c r="E59" s="13">
        <v>19</v>
      </c>
      <c r="F59" s="13">
        <f t="shared" si="3"/>
        <v>13.8</v>
      </c>
      <c r="G59" s="13">
        <v>80</v>
      </c>
      <c r="H59" s="13">
        <v>80</v>
      </c>
      <c r="I59" s="13">
        <f t="shared" si="5"/>
        <v>8</v>
      </c>
      <c r="J59" s="13">
        <v>10</v>
      </c>
      <c r="K59" s="13">
        <v>10</v>
      </c>
      <c r="L59" s="13">
        <v>10</v>
      </c>
      <c r="M59" s="24">
        <f t="shared" si="4"/>
        <v>41.8</v>
      </c>
    </row>
    <row r="60" spans="1:13" ht="15.75" customHeight="1">
      <c r="A60" s="7">
        <v>55</v>
      </c>
      <c r="B60" s="8" t="s">
        <v>225</v>
      </c>
      <c r="C60" s="19" t="s">
        <v>226</v>
      </c>
      <c r="D60" s="13">
        <v>36</v>
      </c>
      <c r="E60" s="13">
        <v>46</v>
      </c>
      <c r="F60" s="13">
        <f t="shared" si="3"/>
        <v>16.399999999999999</v>
      </c>
      <c r="G60" s="13">
        <v>80</v>
      </c>
      <c r="H60" s="13">
        <v>98</v>
      </c>
      <c r="I60" s="13">
        <f t="shared" si="5"/>
        <v>8.9</v>
      </c>
      <c r="J60" s="13">
        <v>10</v>
      </c>
      <c r="K60" s="13">
        <v>10</v>
      </c>
      <c r="L60" s="13">
        <v>10</v>
      </c>
      <c r="M60" s="24">
        <f t="shared" si="4"/>
        <v>45.3</v>
      </c>
    </row>
    <row r="61" spans="1:13" ht="15.75" customHeight="1">
      <c r="A61" s="7">
        <v>56</v>
      </c>
      <c r="B61" s="8" t="s">
        <v>227</v>
      </c>
      <c r="C61" s="19" t="s">
        <v>228</v>
      </c>
      <c r="D61" s="13">
        <v>46</v>
      </c>
      <c r="E61" s="13">
        <v>5</v>
      </c>
      <c r="F61" s="13">
        <f t="shared" si="3"/>
        <v>10.199999999999999</v>
      </c>
      <c r="G61" s="13">
        <v>0</v>
      </c>
      <c r="H61" s="13">
        <v>80</v>
      </c>
      <c r="I61" s="13">
        <f t="shared" si="5"/>
        <v>4</v>
      </c>
      <c r="J61" s="13">
        <v>10</v>
      </c>
      <c r="K61" s="13">
        <v>10</v>
      </c>
      <c r="L61" s="13">
        <v>10</v>
      </c>
      <c r="M61" s="24">
        <f t="shared" si="4"/>
        <v>34.200000000000003</v>
      </c>
    </row>
    <row r="62" spans="1:13" ht="15.75" customHeight="1"/>
    <row r="63" spans="1:13" ht="15.75" customHeight="1"/>
    <row r="64" spans="1:1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">
    <mergeCell ref="A1:E1"/>
    <mergeCell ref="A2:G2"/>
    <mergeCell ref="A3:E3"/>
    <mergeCell ref="D4:E4"/>
    <mergeCell ref="G4:H4"/>
  </mergeCells>
  <pageMargins left="0.7" right="0.7" top="0.75" bottom="0.75" header="0" footer="0"/>
  <pageSetup paperSize="8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3RD IS1</vt:lpstr>
      <vt:lpstr>3RD AD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ise</dc:creator>
  <cp:lastModifiedBy>EWIT-ISE</cp:lastModifiedBy>
  <cp:lastPrinted>2026-01-18T03:02:55Z</cp:lastPrinted>
  <dcterms:created xsi:type="dcterms:W3CDTF">2025-07-28T05:03:16Z</dcterms:created>
  <dcterms:modified xsi:type="dcterms:W3CDTF">2026-01-28T06:45:11Z</dcterms:modified>
</cp:coreProperties>
</file>